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K Superchargers" sheetId="1" state="visible" r:id="rId1"/>
  </sheets>
  <definedNames>
    <definedName name="_xlnm._FilterDatabase" localSheetId="0" hidden="1">'UK Superchargers'!$A$1:$K$184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 ⭐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563C1"/>
      <sz val="10"/>
      <u val="single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81" customWidth="1" min="4" max="4"/>
    <col width="26" customWidth="1" min="5" max="5"/>
    <col width="13" customWidth="1" min="6" max="6"/>
    <col width="22" customWidth="1" min="7" max="7"/>
    <col width="23" customWidth="1" min="8" max="8"/>
    <col width="21" customWidth="1" min="9" max="9"/>
    <col width="21" customWidth="1" min="10" max="10"/>
    <col width="21" customWidth="1" min="11" max="11"/>
  </cols>
  <sheetData>
    <row r="1" ht="26" customHeight="1">
      <c r="A1" s="1" t="inlineStr">
        <is>
          <t>Station Name</t>
        </is>
      </c>
      <c r="B1" s="2" t="inlineStr">
        <is>
          <t>Status</t>
        </is>
      </c>
      <c r="C1" s="2" t="inlineStr">
        <is>
          <t>Stalls</t>
        </is>
      </c>
      <c r="D1" s="1" t="inlineStr">
        <is>
          <t>Street</t>
        </is>
      </c>
      <c r="E1" s="1" t="inlineStr">
        <is>
          <t>City</t>
        </is>
      </c>
      <c r="F1" s="2" t="inlineStr">
        <is>
          <t>Postcode</t>
        </is>
      </c>
      <c r="G1" s="1" t="inlineStr">
        <is>
          <t>Latitude</t>
        </is>
      </c>
      <c r="H1" s="1" t="inlineStr">
        <is>
          <t>Longitude</t>
        </is>
      </c>
      <c r="I1" s="2" t="inlineStr">
        <is>
          <t>Blended EV Score</t>
        </is>
      </c>
      <c r="J1" s="1" t="inlineStr">
        <is>
          <t>Google Maps Link</t>
        </is>
      </c>
      <c r="K1" s="1" t="inlineStr">
        <is>
          <t>Waze Link</t>
        </is>
      </c>
    </row>
    <row r="2" ht="20" customHeight="1">
      <c r="A2" s="3" t="inlineStr">
        <is>
          <t>Aberdeen (SC), UK</t>
        </is>
      </c>
      <c r="B2" s="4" t="inlineStr">
        <is>
          <t>OPEN</t>
        </is>
      </c>
      <c r="C2" s="5" t="n">
        <v>8</v>
      </c>
      <c r="D2" s="3" t="inlineStr">
        <is>
          <t>Wellington Circle</t>
        </is>
      </c>
      <c r="E2" s="3" t="inlineStr">
        <is>
          <t>Aberdeen</t>
        </is>
      </c>
      <c r="F2" s="4" t="inlineStr">
        <is>
          <t>AB12 3JG</t>
        </is>
      </c>
      <c r="G2" s="5" t="n">
        <v>57.110252</v>
      </c>
      <c r="H2" s="5" t="n">
        <v>-2.092611</v>
      </c>
      <c r="I2" s="6" t="n">
        <v>4.5</v>
      </c>
      <c r="J2" s="7">
        <f>HYPERLINK("https://www.google.com/maps/search/?api=1&amp;query=57.110252,-2.092611", "Open Google Maps")</f>
        <v/>
      </c>
      <c r="K2" s="7">
        <f>HYPERLINK("https://waze.com/ul?ll=57.110252,-2.092611&amp;navigate=yes", "Open Waze")</f>
        <v/>
      </c>
    </row>
    <row r="3" ht="20" customHeight="1">
      <c r="A3" s="8" t="inlineStr">
        <is>
          <t>Aberystwyth, UK</t>
        </is>
      </c>
      <c r="B3" s="9" t="inlineStr">
        <is>
          <t>OPEN</t>
        </is>
      </c>
      <c r="C3" s="10" t="n">
        <v>6</v>
      </c>
      <c r="D3" s="8" t="inlineStr">
        <is>
          <t>Park Lodge Hotel, Ffordd Parc y Llyn</t>
        </is>
      </c>
      <c r="E3" s="8" t="inlineStr">
        <is>
          <t>Aberystwyth</t>
        </is>
      </c>
      <c r="F3" s="9" t="inlineStr">
        <is>
          <t>SY23 3TL</t>
        </is>
      </c>
      <c r="G3" s="10" t="n">
        <v>52.404677</v>
      </c>
      <c r="H3" s="10" t="n">
        <v>-4.064609</v>
      </c>
      <c r="I3" s="11" t="n">
        <v>4.4</v>
      </c>
      <c r="J3" s="12">
        <f>HYPERLINK("https://www.google.com/maps/search/?api=1&amp;query=52.404677,-4.064609", "Open Google Maps")</f>
        <v/>
      </c>
      <c r="K3" s="12">
        <f>HYPERLINK("https://waze.com/ul?ll=52.404677,-4.064609&amp;navigate=yes", "Open Waze")</f>
        <v/>
      </c>
    </row>
    <row r="4" ht="20" customHeight="1">
      <c r="A4" s="3" t="inlineStr">
        <is>
          <t>Abington, UK</t>
        </is>
      </c>
      <c r="B4" s="4" t="inlineStr">
        <is>
          <t>OPEN</t>
        </is>
      </c>
      <c r="C4" s="5" t="n">
        <v>14</v>
      </c>
      <c r="D4" s="3" t="inlineStr">
        <is>
          <t>Abington Services, J13, M74</t>
        </is>
      </c>
      <c r="E4" s="3" t="inlineStr">
        <is>
          <t>Abington</t>
        </is>
      </c>
      <c r="F4" s="4" t="inlineStr">
        <is>
          <t>ML12 6RG</t>
        </is>
      </c>
      <c r="G4" s="5" t="n">
        <v>55.507944</v>
      </c>
      <c r="H4" s="5" t="n">
        <v>-3.694786</v>
      </c>
      <c r="I4" s="6" t="n">
        <v>4.6</v>
      </c>
      <c r="J4" s="7">
        <f>HYPERLINK("https://www.google.com/maps/search/?api=1&amp;query=55.507944,-3.694786", "Open Google Maps")</f>
        <v/>
      </c>
      <c r="K4" s="7">
        <f>HYPERLINK("https://waze.com/ul?ll=55.507944,-3.694786&amp;navigate=yes", "Open Waze")</f>
        <v/>
      </c>
    </row>
    <row r="5" ht="20" customHeight="1">
      <c r="A5" s="8" t="inlineStr">
        <is>
          <t>Adderstone, UK</t>
        </is>
      </c>
      <c r="B5" s="9" t="inlineStr">
        <is>
          <t>OPEN</t>
        </is>
      </c>
      <c r="C5" s="10" t="n">
        <v>6</v>
      </c>
      <c r="D5" s="8" t="inlineStr">
        <is>
          <t>Adderstone Services, Warenford</t>
        </is>
      </c>
      <c r="E5" s="8" t="inlineStr">
        <is>
          <t>Belford</t>
        </is>
      </c>
      <c r="F5" s="9" t="inlineStr">
        <is>
          <t>NE70 7JU</t>
        </is>
      </c>
      <c r="G5" s="10" t="n">
        <v>55.564927</v>
      </c>
      <c r="H5" s="10" t="n">
        <v>-1.791844</v>
      </c>
      <c r="I5" s="11" t="n">
        <v>4.7</v>
      </c>
      <c r="J5" s="12">
        <f>HYPERLINK("https://www.google.com/maps/search/?api=1&amp;query=55.564927,-1.791844", "Open Google Maps")</f>
        <v/>
      </c>
      <c r="K5" s="12">
        <f>HYPERLINK("https://waze.com/ul?ll=55.564927,-1.791844&amp;navigate=yes", "Open Waze")</f>
        <v/>
      </c>
    </row>
    <row r="6" ht="20" customHeight="1">
      <c r="A6" s="3" t="inlineStr">
        <is>
          <t>Amesbury, UK</t>
        </is>
      </c>
      <c r="B6" s="4" t="inlineStr">
        <is>
          <t>OPEN</t>
        </is>
      </c>
      <c r="C6" s="5" t="n">
        <v>16</v>
      </c>
      <c r="D6" s="3" t="inlineStr">
        <is>
          <t>Solstice Park Avenue</t>
        </is>
      </c>
      <c r="E6" s="3" t="inlineStr">
        <is>
          <t>Salisbury</t>
        </is>
      </c>
      <c r="F6" s="4" t="inlineStr">
        <is>
          <t>SP4 7SQ</t>
        </is>
      </c>
      <c r="G6" s="5" t="n">
        <v>51.1771</v>
      </c>
      <c r="H6" s="5" t="n">
        <v>-1.7564</v>
      </c>
      <c r="I6" s="6" t="n">
        <v>4.4</v>
      </c>
      <c r="J6" s="7">
        <f>HYPERLINK("https://www.google.com/maps/search/?api=1&amp;query=51.1771,-1.7564", "Open Google Maps")</f>
        <v/>
      </c>
      <c r="K6" s="7">
        <f>HYPERLINK("https://waze.com/ul?ll=51.1771,-1.7564&amp;navigate=yes", "Open Waze")</f>
        <v/>
      </c>
    </row>
    <row r="7" ht="20" customHeight="1">
      <c r="A7" s="8" t="inlineStr">
        <is>
          <t>Anglesey, UK</t>
        </is>
      </c>
      <c r="B7" s="9" t="inlineStr">
        <is>
          <t>OPEN</t>
        </is>
      </c>
      <c r="C7" s="10" t="n">
        <v>12</v>
      </c>
      <c r="D7" s="8" t="inlineStr">
        <is>
          <t>Menai Science Park</t>
        </is>
      </c>
      <c r="E7" s="8" t="inlineStr">
        <is>
          <t>Gaerwen</t>
        </is>
      </c>
      <c r="F7" s="9" t="inlineStr">
        <is>
          <t>LL60 6AG</t>
        </is>
      </c>
      <c r="G7" s="10" t="n">
        <v>53.224083</v>
      </c>
      <c r="H7" s="10" t="n">
        <v>-4.264199</v>
      </c>
      <c r="I7" s="11" t="n">
        <v>4.4</v>
      </c>
      <c r="J7" s="12">
        <f>HYPERLINK("https://www.google.com/maps/search/?api=1&amp;query=53.224083,-4.264199", "Open Google Maps")</f>
        <v/>
      </c>
      <c r="K7" s="12">
        <f>HYPERLINK("https://waze.com/ul?ll=53.224083,-4.264199&amp;navigate=yes", "Open Waze")</f>
        <v/>
      </c>
    </row>
    <row r="8" ht="20" customHeight="1">
      <c r="A8" s="3" t="inlineStr">
        <is>
          <t>Annesley, UK</t>
        </is>
      </c>
      <c r="B8" s="4" t="inlineStr">
        <is>
          <t>OPEN</t>
        </is>
      </c>
      <c r="C8" s="5" t="n">
        <v>10</v>
      </c>
      <c r="D8" s="3" t="inlineStr">
        <is>
          <t>Lake View Drive</t>
        </is>
      </c>
      <c r="E8" s="3" t="inlineStr">
        <is>
          <t>Nottingham</t>
        </is>
      </c>
      <c r="F8" s="4" t="inlineStr">
        <is>
          <t>NG15 0EA</t>
        </is>
      </c>
      <c r="G8" s="5" t="n">
        <v>53.06856</v>
      </c>
      <c r="H8" s="5" t="n">
        <v>-1.25259</v>
      </c>
      <c r="I8" s="6" t="n">
        <v>4.5</v>
      </c>
      <c r="J8" s="7">
        <f>HYPERLINK("https://www.google.com/maps/search/?api=1&amp;query=53.06856,-1.25259", "Open Google Maps")</f>
        <v/>
      </c>
      <c r="K8" s="7">
        <f>HYPERLINK("https://waze.com/ul?ll=53.06856,-1.25259&amp;navigate=yes", "Open Waze")</f>
        <v/>
      </c>
    </row>
    <row r="9" ht="20" customHeight="1">
      <c r="A9" s="8" t="inlineStr">
        <is>
          <t>Aviemore, UK</t>
        </is>
      </c>
      <c r="B9" s="9" t="inlineStr">
        <is>
          <t>OPEN</t>
        </is>
      </c>
      <c r="C9" s="10" t="n">
        <v>4</v>
      </c>
      <c r="D9" s="8" t="inlineStr">
        <is>
          <t>MacDonald Highland Resort</t>
        </is>
      </c>
      <c r="E9" s="8" t="inlineStr">
        <is>
          <t>Aviemore</t>
        </is>
      </c>
      <c r="F9" s="9" t="inlineStr">
        <is>
          <t>PH22 1PN</t>
        </is>
      </c>
      <c r="G9" s="10" t="n">
        <v>57.189766</v>
      </c>
      <c r="H9" s="10" t="n">
        <v>-3.836158</v>
      </c>
      <c r="I9" s="11" t="n">
        <v>4.5</v>
      </c>
      <c r="J9" s="12">
        <f>HYPERLINK("https://www.google.com/maps/search/?api=1&amp;query=57.189766,-3.836158", "Open Google Maps")</f>
        <v/>
      </c>
      <c r="K9" s="12">
        <f>HYPERLINK("https://waze.com/ul?ll=57.189766,-3.836158&amp;navigate=yes", "Open Waze")</f>
        <v/>
      </c>
    </row>
    <row r="10" ht="20" customHeight="1">
      <c r="A10" s="3" t="inlineStr">
        <is>
          <t>Banbury, UK</t>
        </is>
      </c>
      <c r="B10" s="4" t="inlineStr">
        <is>
          <t>OPEN</t>
        </is>
      </c>
      <c r="C10" s="5" t="n">
        <v>12</v>
      </c>
      <c r="D10" s="3" t="inlineStr">
        <is>
          <t>15 Lockheed Cl</t>
        </is>
      </c>
      <c r="E10" s="3" t="inlineStr">
        <is>
          <t>Banbury</t>
        </is>
      </c>
      <c r="F10" s="4" t="inlineStr">
        <is>
          <t>OX16 1LX</t>
        </is>
      </c>
      <c r="G10" s="5" t="n">
        <v>52.072942</v>
      </c>
      <c r="H10" s="5" t="n">
        <v>-1.341775</v>
      </c>
      <c r="I10" s="6" t="n">
        <v>4.6</v>
      </c>
      <c r="J10" s="7">
        <f>HYPERLINK("https://www.google.com/maps/search/?api=1&amp;query=52.072942,-1.341775", "Open Google Maps")</f>
        <v/>
      </c>
      <c r="K10" s="7">
        <f>HYPERLINK("https://waze.com/ul?ll=52.072942,-1.341775&amp;navigate=yes", "Open Waze")</f>
        <v/>
      </c>
    </row>
    <row r="11" ht="20" customHeight="1">
      <c r="A11" s="8" t="inlineStr">
        <is>
          <t>Barnsley, UK</t>
        </is>
      </c>
      <c r="B11" s="9" t="inlineStr">
        <is>
          <t>OPEN</t>
        </is>
      </c>
      <c r="C11" s="10" t="n">
        <v>2</v>
      </c>
      <c r="D11" s="8" t="inlineStr">
        <is>
          <t>Tankersley Manor Hotel, Church Lane</t>
        </is>
      </c>
      <c r="E11" s="8" t="inlineStr">
        <is>
          <t>Barnsley</t>
        </is>
      </c>
      <c r="F11" s="9" t="inlineStr">
        <is>
          <t>S75 3DQ</t>
        </is>
      </c>
      <c r="G11" s="10" t="n">
        <v>53.489393</v>
      </c>
      <c r="H11" s="10" t="n">
        <v>-1.486223</v>
      </c>
      <c r="I11" s="11" t="n">
        <v>4.4</v>
      </c>
      <c r="J11" s="12">
        <f>HYPERLINK("https://www.google.com/maps/search/?api=1&amp;query=53.489393,-1.486223", "Open Google Maps")</f>
        <v/>
      </c>
      <c r="K11" s="12">
        <f>HYPERLINK("https://waze.com/ul?ll=53.489393,-1.486223&amp;navigate=yes", "Open Waze")</f>
        <v/>
      </c>
    </row>
    <row r="12" ht="20" customHeight="1">
      <c r="A12" s="3" t="inlineStr">
        <is>
          <t>Belfast (SC), UK - Boucher Road</t>
        </is>
      </c>
      <c r="B12" s="4" t="inlineStr">
        <is>
          <t>OPEN</t>
        </is>
      </c>
      <c r="C12" s="5" t="n">
        <v>8</v>
      </c>
      <c r="D12" s="3" t="inlineStr">
        <is>
          <t>Boucher Rd</t>
        </is>
      </c>
      <c r="E12" s="3" t="inlineStr">
        <is>
          <t>Belfast</t>
        </is>
      </c>
      <c r="F12" s="4" t="inlineStr">
        <is>
          <t>BT12 6NT</t>
        </is>
      </c>
      <c r="G12" s="5" t="n">
        <v>54.584952</v>
      </c>
      <c r="H12" s="5" t="n">
        <v>-5.959096</v>
      </c>
      <c r="I12" s="6" t="n">
        <v>4.5</v>
      </c>
      <c r="J12" s="7">
        <f>HYPERLINK("https://www.google.com/maps/search/?api=1&amp;query=54.584952,-5.959096", "Open Google Maps")</f>
        <v/>
      </c>
      <c r="K12" s="7">
        <f>HYPERLINK("https://waze.com/ul?ll=54.584952,-5.959096&amp;navigate=yes", "Open Waze")</f>
        <v/>
      </c>
    </row>
    <row r="13" ht="20" customHeight="1">
      <c r="A13" s="8" t="inlineStr">
        <is>
          <t>Birch, UK - Eastbound</t>
        </is>
      </c>
      <c r="B13" s="9" t="inlineStr">
        <is>
          <t>OPEN</t>
        </is>
      </c>
      <c r="C13" s="10" t="n">
        <v>12</v>
      </c>
      <c r="D13" s="8" t="inlineStr">
        <is>
          <t>M62 Birch Services East</t>
        </is>
      </c>
      <c r="E13" s="8" t="inlineStr">
        <is>
          <t>Heywood</t>
        </is>
      </c>
      <c r="F13" s="9" t="inlineStr">
        <is>
          <t>OL10 2QH</t>
        </is>
      </c>
      <c r="G13" s="10" t="n">
        <v>53.568318</v>
      </c>
      <c r="H13" s="10" t="n">
        <v>-2.233511</v>
      </c>
      <c r="I13" s="11" t="n">
        <v>4.6</v>
      </c>
      <c r="J13" s="12">
        <f>HYPERLINK("https://www.google.com/maps/search/?api=1&amp;query=53.568318,-2.233511", "Open Google Maps")</f>
        <v/>
      </c>
      <c r="K13" s="12">
        <f>HYPERLINK("https://waze.com/ul?ll=53.568318,-2.233511&amp;navigate=yes", "Open Waze")</f>
        <v/>
      </c>
    </row>
    <row r="14" ht="20" customHeight="1">
      <c r="A14" s="3" t="inlineStr">
        <is>
          <t>Birch, UK - Westbound</t>
        </is>
      </c>
      <c r="B14" s="4" t="inlineStr">
        <is>
          <t>OPEN</t>
        </is>
      </c>
      <c r="C14" s="5" t="n">
        <v>12</v>
      </c>
      <c r="D14" s="3" t="inlineStr">
        <is>
          <t>M62 Birch Services, Whittle Lane</t>
        </is>
      </c>
      <c r="E14" s="3" t="inlineStr">
        <is>
          <t>Heywood</t>
        </is>
      </c>
      <c r="F14" s="4" t="inlineStr">
        <is>
          <t>OL10 2RB</t>
        </is>
      </c>
      <c r="G14" s="5" t="n">
        <v>53.567537</v>
      </c>
      <c r="H14" s="5" t="n">
        <v>-2.2293921</v>
      </c>
      <c r="I14" s="6" t="n">
        <v>4.5</v>
      </c>
      <c r="J14" s="7">
        <f>HYPERLINK("https://www.google.com/maps/search/?api=1&amp;query=53.567537,-2.2293921", "Open Google Maps")</f>
        <v/>
      </c>
      <c r="K14" s="7">
        <f>HYPERLINK("https://waze.com/ul?ll=53.567537,-2.2293921&amp;navigate=yes", "Open Waze")</f>
        <v/>
      </c>
    </row>
    <row r="15" ht="20" customHeight="1">
      <c r="A15" s="8" t="inlineStr">
        <is>
          <t>Birchanger Green, UK</t>
        </is>
      </c>
      <c r="B15" s="9" t="inlineStr">
        <is>
          <t>OPEN</t>
        </is>
      </c>
      <c r="C15" s="10" t="n">
        <v>24</v>
      </c>
      <c r="D15" s="8" t="inlineStr">
        <is>
          <t>Birchanger Green Services, Old Dunmow Road, J8, M11</t>
        </is>
      </c>
      <c r="E15" s="8" t="inlineStr">
        <is>
          <t>Bishops Stortford</t>
        </is>
      </c>
      <c r="F15" s="9" t="inlineStr">
        <is>
          <t>CM23 5QZ</t>
        </is>
      </c>
      <c r="G15" s="10" t="n">
        <v>51.870853</v>
      </c>
      <c r="H15" s="10" t="n">
        <v>0.196442</v>
      </c>
      <c r="I15" s="11" t="n">
        <v>4.6</v>
      </c>
      <c r="J15" s="12">
        <f>HYPERLINK("https://www.google.com/maps/search/?api=1&amp;query=51.870853,0.196442", "Open Google Maps")</f>
        <v/>
      </c>
      <c r="K15" s="12">
        <f>HYPERLINK("https://waze.com/ul?ll=51.870853,0.196442&amp;navigate=yes", "Open Waze")</f>
        <v/>
      </c>
    </row>
    <row r="16" ht="20" customHeight="1">
      <c r="A16" s="3" t="inlineStr">
        <is>
          <t>Blyth, UK</t>
        </is>
      </c>
      <c r="B16" s="4" t="inlineStr">
        <is>
          <t>OPEN</t>
        </is>
      </c>
      <c r="C16" s="5" t="n">
        <v>12</v>
      </c>
      <c r="D16" s="3" t="inlineStr">
        <is>
          <t>Blyth services, Hill Top Roundabout, A1(M), A614</t>
        </is>
      </c>
      <c r="E16" s="3" t="inlineStr">
        <is>
          <t>Blyth</t>
        </is>
      </c>
      <c r="F16" s="4" t="inlineStr">
        <is>
          <t>S81 8HG</t>
        </is>
      </c>
      <c r="G16" s="5" t="n">
        <v>53.386873</v>
      </c>
      <c r="H16" s="5" t="n">
        <v>-1.059604</v>
      </c>
      <c r="I16" s="6" t="n">
        <v>4.5</v>
      </c>
      <c r="J16" s="7">
        <f>HYPERLINK("https://www.google.com/maps/search/?api=1&amp;query=53.386873,-1.059604", "Open Google Maps")</f>
        <v/>
      </c>
      <c r="K16" s="7">
        <f>HYPERLINK("https://waze.com/ul?ll=53.386873,-1.059604&amp;navigate=yes", "Open Waze")</f>
        <v/>
      </c>
    </row>
    <row r="17" ht="20" customHeight="1">
      <c r="A17" s="8" t="inlineStr">
        <is>
          <t>Bradford, UK</t>
        </is>
      </c>
      <c r="B17" s="9" t="inlineStr">
        <is>
          <t>OPEN</t>
        </is>
      </c>
      <c r="C17" s="10" t="n">
        <v>16</v>
      </c>
      <c r="D17" s="8" t="inlineStr">
        <is>
          <t>Cedar Court Hotel, Mayo Avenue, Rooley Lane, Bradford</t>
        </is>
      </c>
      <c r="E17" s="8" t="inlineStr">
        <is>
          <t>Bradford</t>
        </is>
      </c>
      <c r="F17" s="9" t="inlineStr">
        <is>
          <t>BD5 8HW</t>
        </is>
      </c>
      <c r="G17" s="10" t="n">
        <v>53.770453</v>
      </c>
      <c r="H17" s="10" t="n">
        <v>-1.750511</v>
      </c>
      <c r="I17" s="11" t="n">
        <v>4.5</v>
      </c>
      <c r="J17" s="12">
        <f>HYPERLINK("https://www.google.com/maps/search/?api=1&amp;query=53.770453,-1.750511", "Open Google Maps")</f>
        <v/>
      </c>
      <c r="K17" s="12">
        <f>HYPERLINK("https://waze.com/ul?ll=53.770453,-1.750511&amp;navigate=yes", "Open Waze")</f>
        <v/>
      </c>
    </row>
    <row r="18" ht="20" customHeight="1">
      <c r="A18" s="3" t="inlineStr">
        <is>
          <t>Braintree, UK - Gridserve Electric Forecourt</t>
        </is>
      </c>
      <c r="B18" s="4" t="inlineStr">
        <is>
          <t>OPEN</t>
        </is>
      </c>
      <c r="C18" s="5" t="n">
        <v>6</v>
      </c>
      <c r="D18" s="3" t="inlineStr">
        <is>
          <t>Gridserve Electric Forecourt, Edison Way, Great Notley</t>
        </is>
      </c>
      <c r="E18" s="3" t="inlineStr">
        <is>
          <t>Braintree</t>
        </is>
      </c>
      <c r="F18" s="4" t="inlineStr">
        <is>
          <t>CM77 7AP</t>
        </is>
      </c>
      <c r="G18" s="5" t="n">
        <v>51.8526</v>
      </c>
      <c r="H18" s="5" t="n">
        <v>0.5224</v>
      </c>
      <c r="I18" s="6" t="n">
        <v>4.5</v>
      </c>
      <c r="J18" s="7">
        <f>HYPERLINK("https://www.google.com/maps/search/?api=1&amp;query=51.8526,0.5224", "Open Google Maps")</f>
        <v/>
      </c>
      <c r="K18" s="7">
        <f>HYPERLINK("https://waze.com/ul?ll=51.8526,0.5224&amp;navigate=yes", "Open Waze")</f>
        <v/>
      </c>
    </row>
    <row r="19" ht="20" customHeight="1">
      <c r="A19" s="8" t="inlineStr">
        <is>
          <t>Bridgend, UK</t>
        </is>
      </c>
      <c r="B19" s="9" t="inlineStr">
        <is>
          <t>OPEN</t>
        </is>
      </c>
      <c r="C19" s="10" t="n">
        <v>12</v>
      </c>
      <c r="D19" s="8" t="inlineStr">
        <is>
          <t>Bridgend Shopping Outlet, The Derwen</t>
        </is>
      </c>
      <c r="E19" s="8" t="inlineStr">
        <is>
          <t>Bridgend</t>
        </is>
      </c>
      <c r="F19" s="9" t="inlineStr">
        <is>
          <t>CF32 9SU</t>
        </is>
      </c>
      <c r="G19" s="10" t="n">
        <v>51.53251</v>
      </c>
      <c r="H19" s="10" t="n">
        <v>-3.573568</v>
      </c>
      <c r="I19" s="11" t="n">
        <v>4.5</v>
      </c>
      <c r="J19" s="12">
        <f>HYPERLINK("https://www.google.com/maps/search/?api=1&amp;query=51.53251,-3.573568", "Open Google Maps")</f>
        <v/>
      </c>
      <c r="K19" s="12">
        <f>HYPERLINK("https://waze.com/ul?ll=51.53251,-3.573568&amp;navigate=yes", "Open Waze")</f>
        <v/>
      </c>
    </row>
    <row r="20" ht="20" customHeight="1">
      <c r="A20" s="3" t="inlineStr">
        <is>
          <t>Bristol, UK - Cribbs Causeway</t>
        </is>
      </c>
      <c r="B20" s="4" t="inlineStr">
        <is>
          <t>OPEN</t>
        </is>
      </c>
      <c r="C20" s="5" t="n">
        <v>14</v>
      </c>
      <c r="D20" s="3" t="inlineStr">
        <is>
          <t>John Lewis, The Mall at Cribbs Causeway</t>
        </is>
      </c>
      <c r="E20" s="3" t="inlineStr">
        <is>
          <t>Bristol</t>
        </is>
      </c>
      <c r="F20" s="4" t="inlineStr">
        <is>
          <t>BS34 5QU</t>
        </is>
      </c>
      <c r="G20" s="5" t="n">
        <v>51.526694</v>
      </c>
      <c r="H20" s="5" t="n">
        <v>-2.599806</v>
      </c>
      <c r="I20" s="6" t="n">
        <v>4.4</v>
      </c>
      <c r="J20" s="7">
        <f>HYPERLINK("https://www.google.com/maps/search/?api=1&amp;query=51.526694,-2.599806", "Open Google Maps")</f>
        <v/>
      </c>
      <c r="K20" s="7">
        <f>HYPERLINK("https://waze.com/ul?ll=51.526694,-2.599806&amp;navigate=yes", "Open Waze")</f>
        <v/>
      </c>
    </row>
    <row r="21" ht="20" customHeight="1">
      <c r="A21" s="8" t="inlineStr">
        <is>
          <t>Bristol, UK - Eastgate</t>
        </is>
      </c>
      <c r="B21" s="9" t="inlineStr">
        <is>
          <t>OPEN</t>
        </is>
      </c>
      <c r="C21" s="10" t="n">
        <v>8</v>
      </c>
      <c r="D21" s="8" t="inlineStr">
        <is>
          <t>Eastgate retail park, Eastgate Road</t>
        </is>
      </c>
      <c r="E21" s="8" t="inlineStr">
        <is>
          <t>Bristol</t>
        </is>
      </c>
      <c r="F21" s="9" t="inlineStr">
        <is>
          <t>BS34 5QU</t>
        </is>
      </c>
      <c r="G21" s="10" t="n">
        <v>51.473698</v>
      </c>
      <c r="H21" s="10" t="n">
        <v>-2.564956</v>
      </c>
      <c r="I21" s="11" t="n">
        <v>4.6</v>
      </c>
      <c r="J21" s="12">
        <f>HYPERLINK("https://www.google.com/maps/search/?api=1&amp;query=51.473698,-2.564956", "Open Google Maps")</f>
        <v/>
      </c>
      <c r="K21" s="12">
        <f>HYPERLINK("https://waze.com/ul?ll=51.473698,-2.564956&amp;navigate=yes", "Open Waze")</f>
        <v/>
      </c>
    </row>
    <row r="22" ht="20" customHeight="1">
      <c r="A22" s="3" t="inlineStr">
        <is>
          <t>Bristol, UK - Lysander Road (SC)</t>
        </is>
      </c>
      <c r="B22" s="4" t="inlineStr">
        <is>
          <t>OPEN</t>
        </is>
      </c>
      <c r="C22" s="5" t="n">
        <v>6</v>
      </c>
      <c r="D22" s="3" t="inlineStr">
        <is>
          <t>Lysander Road, Westbury-on-Trym</t>
        </is>
      </c>
      <c r="E22" s="3" t="inlineStr">
        <is>
          <t>Bristol</t>
        </is>
      </c>
      <c r="F22" s="4" t="inlineStr">
        <is>
          <t>BS10 7UB</t>
        </is>
      </c>
      <c r="G22" s="5" t="n">
        <v>51.522889</v>
      </c>
      <c r="H22" s="5" t="n">
        <v>-2.609222</v>
      </c>
      <c r="I22" s="6" t="n">
        <v>4.5</v>
      </c>
      <c r="J22" s="7">
        <f>HYPERLINK("https://www.google.com/maps/search/?api=1&amp;query=51.522889,-2.609222", "Open Google Maps")</f>
        <v/>
      </c>
      <c r="K22" s="7">
        <f>HYPERLINK("https://waze.com/ul?ll=51.522889,-2.609222&amp;navigate=yes", "Open Waze")</f>
        <v/>
      </c>
    </row>
    <row r="23" ht="20" customHeight="1">
      <c r="A23" s="8" t="inlineStr">
        <is>
          <t>Burtonwood, UK</t>
        </is>
      </c>
      <c r="B23" s="9" t="inlineStr">
        <is>
          <t>OPEN</t>
        </is>
      </c>
      <c r="C23" s="10" t="n">
        <v>20</v>
      </c>
      <c r="D23" s="8" t="inlineStr">
        <is>
          <t>Burtonwood services, J8, M62</t>
        </is>
      </c>
      <c r="E23" s="8" t="inlineStr">
        <is>
          <t>Burtonwood</t>
        </is>
      </c>
      <c r="F23" s="9" t="inlineStr">
        <is>
          <t>WA5 3AX</t>
        </is>
      </c>
      <c r="G23" s="10" t="n">
        <v>53.417601</v>
      </c>
      <c r="H23" s="10" t="n">
        <v>-2.639606</v>
      </c>
      <c r="I23" s="11" t="n">
        <v>4.4</v>
      </c>
      <c r="J23" s="12">
        <f>HYPERLINK("https://www.google.com/maps/search/?api=1&amp;query=53.417601,-2.639606", "Open Google Maps")</f>
        <v/>
      </c>
      <c r="K23" s="12">
        <f>HYPERLINK("https://waze.com/ul?ll=53.417601,-2.639606&amp;navigate=yes", "Open Waze")</f>
        <v/>
      </c>
    </row>
    <row r="24" ht="20" customHeight="1">
      <c r="A24" s="3" t="inlineStr">
        <is>
          <t>Camborne, UK</t>
        </is>
      </c>
      <c r="B24" s="4" t="inlineStr">
        <is>
          <t>OPEN</t>
        </is>
      </c>
      <c r="C24" s="5" t="n">
        <v>8</v>
      </c>
      <c r="D24" s="3" t="inlineStr">
        <is>
          <t>Trevenson Rd, Pool</t>
        </is>
      </c>
      <c r="E24" s="3" t="inlineStr">
        <is>
          <t>Redruth</t>
        </is>
      </c>
      <c r="F24" s="4" t="inlineStr">
        <is>
          <t>TR15 3RD</t>
        </is>
      </c>
      <c r="G24" s="5" t="n">
        <v>50.2275556</v>
      </c>
      <c r="H24" s="5" t="n">
        <v>-5.2800278</v>
      </c>
      <c r="I24" s="6" t="n">
        <v>4.5</v>
      </c>
      <c r="J24" s="7">
        <f>HYPERLINK("https://www.google.com/maps/search/?api=1&amp;query=50.2275556,-5.2800278", "Open Google Maps")</f>
        <v/>
      </c>
      <c r="K24" s="7">
        <f>HYPERLINK("https://waze.com/ul?ll=50.2275556,-5.2800278&amp;navigate=yes", "Open Waze")</f>
        <v/>
      </c>
    </row>
    <row r="25" ht="20" customHeight="1">
      <c r="A25" s="8" t="inlineStr">
        <is>
          <t>Cambridge (SC), UK</t>
        </is>
      </c>
      <c r="B25" s="9" t="inlineStr">
        <is>
          <t>OPEN</t>
        </is>
      </c>
      <c r="C25" s="10" t="n">
        <v>12</v>
      </c>
      <c r="D25" s="8" t="inlineStr">
        <is>
          <t>Saxon Way</t>
        </is>
      </c>
      <c r="E25" s="8" t="inlineStr">
        <is>
          <t>Bar Hill</t>
        </is>
      </c>
      <c r="F25" s="9" t="inlineStr">
        <is>
          <t>CB23 8AP</t>
        </is>
      </c>
      <c r="G25" s="10" t="n">
        <v>52.25635</v>
      </c>
      <c r="H25" s="10" t="n">
        <v>0.017174</v>
      </c>
      <c r="I25" s="11" t="n">
        <v>4.5</v>
      </c>
      <c r="J25" s="12">
        <f>HYPERLINK("https://www.google.com/maps/search/?api=1&amp;query=52.25635,0.017174", "Open Google Maps")</f>
        <v/>
      </c>
      <c r="K25" s="12">
        <f>HYPERLINK("https://waze.com/ul?ll=52.25635,0.017174&amp;navigate=yes", "Open Waze")</f>
        <v/>
      </c>
    </row>
    <row r="26" ht="20" customHeight="1">
      <c r="A26" s="3" t="inlineStr">
        <is>
          <t>Cannock, UK</t>
        </is>
      </c>
      <c r="B26" s="4" t="inlineStr">
        <is>
          <t>OPEN</t>
        </is>
      </c>
      <c r="C26" s="5" t="n">
        <v>16</v>
      </c>
      <c r="D26" s="3" t="inlineStr">
        <is>
          <t>Eastern Way, Lichfield Rd</t>
        </is>
      </c>
      <c r="E26" s="3" t="inlineStr">
        <is>
          <t>Cannock</t>
        </is>
      </c>
      <c r="F26" s="4" t="inlineStr">
        <is>
          <t>WS11 7JZ</t>
        </is>
      </c>
      <c r="G26" s="5" t="n">
        <v>52.687759</v>
      </c>
      <c r="H26" s="5" t="n">
        <v>-2.01457</v>
      </c>
      <c r="I26" s="6" t="n">
        <v>4.4</v>
      </c>
      <c r="J26" s="7">
        <f>HYPERLINK("https://www.google.com/maps/search/?api=1&amp;query=52.687759,-2.01457", "Open Google Maps")</f>
        <v/>
      </c>
      <c r="K26" s="7">
        <f>HYPERLINK("https://waze.com/ul?ll=52.687759,-2.01457&amp;navigate=yes", "Open Waze")</f>
        <v/>
      </c>
    </row>
    <row r="27" ht="20" customHeight="1">
      <c r="A27" s="8" t="inlineStr">
        <is>
          <t>Cardiff (SC), UK</t>
        </is>
      </c>
      <c r="B27" s="9" t="inlineStr">
        <is>
          <t>OPEN</t>
        </is>
      </c>
      <c r="C27" s="10" t="n">
        <v>8</v>
      </c>
      <c r="D27" s="8" t="inlineStr">
        <is>
          <t>Croescadarn Close</t>
        </is>
      </c>
      <c r="E27" s="8" t="inlineStr">
        <is>
          <t>Cardiff</t>
        </is>
      </c>
      <c r="F27" s="9" t="inlineStr">
        <is>
          <t>CF23 8HE</t>
        </is>
      </c>
      <c r="G27" s="10" t="n">
        <v>51.5314</v>
      </c>
      <c r="H27" s="10" t="n">
        <v>-3.1401</v>
      </c>
      <c r="I27" s="11" t="n">
        <v>4.4</v>
      </c>
      <c r="J27" s="12">
        <f>HYPERLINK("https://www.google.com/maps/search/?api=1&amp;query=51.5314,-3.1401", "Open Google Maps")</f>
        <v/>
      </c>
      <c r="K27" s="12">
        <f>HYPERLINK("https://waze.com/ul?ll=51.5314,-3.1401&amp;navigate=yes", "Open Waze")</f>
        <v/>
      </c>
    </row>
    <row r="28" ht="20" customHeight="1">
      <c r="A28" s="3" t="inlineStr">
        <is>
          <t>Carmarthen, UK</t>
        </is>
      </c>
      <c r="B28" s="4" t="inlineStr">
        <is>
          <t>OPEN</t>
        </is>
      </c>
      <c r="C28" s="5" t="n">
        <v>12</v>
      </c>
      <c r="D28" s="3" t="inlineStr">
        <is>
          <t>Saint Catherine’s Walk Shopping Centre Car Park, Saint Catherine Street</t>
        </is>
      </c>
      <c r="E28" s="3" t="inlineStr">
        <is>
          <t>Carmarthen</t>
        </is>
      </c>
      <c r="F28" s="4" t="inlineStr">
        <is>
          <t>SA31 1GA</t>
        </is>
      </c>
      <c r="G28" s="5" t="n">
        <v>51.858438</v>
      </c>
      <c r="H28" s="5" t="n">
        <v>-4.311377</v>
      </c>
      <c r="I28" s="6" t="n">
        <v>4.5</v>
      </c>
      <c r="J28" s="7">
        <f>HYPERLINK("https://www.google.com/maps/search/?api=1&amp;query=51.858438,-4.311377", "Open Google Maps")</f>
        <v/>
      </c>
      <c r="K28" s="7">
        <f>HYPERLINK("https://waze.com/ul?ll=51.858438,-4.311377&amp;navigate=yes", "Open Waze")</f>
        <v/>
      </c>
    </row>
    <row r="29" ht="20" customHeight="1">
      <c r="A29" s="8" t="inlineStr">
        <is>
          <t>Charnock Richard, UK - Northbound</t>
        </is>
      </c>
      <c r="B29" s="9" t="inlineStr">
        <is>
          <t>OPEN</t>
        </is>
      </c>
      <c r="C29" s="10" t="n">
        <v>12</v>
      </c>
      <c r="D29" s="8" t="inlineStr">
        <is>
          <t>Charnock Richard Services, Jct 27-28 M6 Northbound Mill Ln</t>
        </is>
      </c>
      <c r="E29" s="8" t="inlineStr">
        <is>
          <t>Chorley</t>
        </is>
      </c>
      <c r="F29" s="9" t="inlineStr">
        <is>
          <t>PR7 5LR</t>
        </is>
      </c>
      <c r="G29" s="10" t="n">
        <v>53.630562</v>
      </c>
      <c r="H29" s="10" t="n">
        <v>-2.692578</v>
      </c>
      <c r="I29" s="11" t="n">
        <v>4.4</v>
      </c>
      <c r="J29" s="12">
        <f>HYPERLINK("https://www.google.com/maps/search/?api=1&amp;query=53.630562,-2.692578", "Open Google Maps")</f>
        <v/>
      </c>
      <c r="K29" s="12">
        <f>HYPERLINK("https://waze.com/ul?ll=53.630562,-2.692578&amp;navigate=yes", "Open Waze")</f>
        <v/>
      </c>
    </row>
    <row r="30" ht="20" customHeight="1">
      <c r="A30" s="3" t="inlineStr">
        <is>
          <t>Charnock Richard, UK - Southbound</t>
        </is>
      </c>
      <c r="B30" s="4" t="inlineStr">
        <is>
          <t>OPEN</t>
        </is>
      </c>
      <c r="C30" s="5" t="n">
        <v>8</v>
      </c>
      <c r="D30" s="3" t="inlineStr">
        <is>
          <t>Charnock Richard Services, Jct 27-28 M6 Northbound Mill Ln</t>
        </is>
      </c>
      <c r="E30" s="3" t="inlineStr">
        <is>
          <t>Chorley</t>
        </is>
      </c>
      <c r="F30" s="4" t="inlineStr">
        <is>
          <t>PR7 5LR</t>
        </is>
      </c>
      <c r="G30" s="5" t="n">
        <v>53.631161</v>
      </c>
      <c r="H30" s="5" t="n">
        <v>-2.689206</v>
      </c>
      <c r="I30" s="6" t="n">
        <v>4.4</v>
      </c>
      <c r="J30" s="7">
        <f>HYPERLINK("https://www.google.com/maps/search/?api=1&amp;query=53.631161,-2.689206", "Open Google Maps")</f>
        <v/>
      </c>
      <c r="K30" s="7">
        <f>HYPERLINK("https://waze.com/ul?ll=53.631161,-2.689206&amp;navigate=yes", "Open Waze")</f>
        <v/>
      </c>
    </row>
    <row r="31" ht="20" customHeight="1">
      <c r="A31" s="8" t="inlineStr">
        <is>
          <t>Chelmsford (SC), UK</t>
        </is>
      </c>
      <c r="B31" s="9" t="inlineStr">
        <is>
          <t>OPEN</t>
        </is>
      </c>
      <c r="C31" s="10" t="n">
        <v>8</v>
      </c>
      <c r="D31" s="8" t="inlineStr">
        <is>
          <t>1 White Hart Ln, Springfield</t>
        </is>
      </c>
      <c r="E31" s="8" t="inlineStr">
        <is>
          <t>Chelmsford</t>
        </is>
      </c>
      <c r="F31" s="9" t="inlineStr">
        <is>
          <t>CM2 5EF</t>
        </is>
      </c>
      <c r="G31" s="10" t="n">
        <v>51.7503</v>
      </c>
      <c r="H31" s="10" t="n">
        <v>0.5114</v>
      </c>
      <c r="I31" s="11" t="n">
        <v>4.5</v>
      </c>
      <c r="J31" s="12">
        <f>HYPERLINK("https://www.google.com/maps/search/?api=1&amp;query=51.7503,0.5114", "Open Google Maps")</f>
        <v/>
      </c>
      <c r="K31" s="12">
        <f>HYPERLINK("https://waze.com/ul?ll=51.7503,0.5114&amp;navigate=yes", "Open Waze")</f>
        <v/>
      </c>
    </row>
    <row r="32" ht="20" customHeight="1">
      <c r="A32" s="3" t="inlineStr">
        <is>
          <t>Cheshunt, UK</t>
        </is>
      </c>
      <c r="B32" s="4" t="inlineStr">
        <is>
          <t>OPEN</t>
        </is>
      </c>
      <c r="C32" s="5" t="n">
        <v>16</v>
      </c>
      <c r="D32" s="3" t="inlineStr">
        <is>
          <t>Halfhide Ln</t>
        </is>
      </c>
      <c r="E32" s="3" t="inlineStr">
        <is>
          <t>Cheshunt</t>
        </is>
      </c>
      <c r="F32" s="4" t="inlineStr">
        <is>
          <t>EN8 0QE</t>
        </is>
      </c>
      <c r="G32" s="5" t="n">
        <v>51.720267</v>
      </c>
      <c r="H32" s="5" t="n">
        <v>-0.037312</v>
      </c>
      <c r="I32" s="6" t="n">
        <v>4.5</v>
      </c>
      <c r="J32" s="7">
        <f>HYPERLINK("https://www.google.com/maps/search/?api=1&amp;query=51.720267,-0.037312", "Open Google Maps")</f>
        <v/>
      </c>
      <c r="K32" s="7">
        <f>HYPERLINK("https://waze.com/ul?ll=51.720267,-0.037312&amp;navigate=yes", "Open Waze")</f>
        <v/>
      </c>
    </row>
    <row r="33" ht="20" customHeight="1">
      <c r="A33" s="8" t="inlineStr">
        <is>
          <t>Colchester, UK</t>
        </is>
      </c>
      <c r="B33" s="9" t="inlineStr">
        <is>
          <t>OPEN</t>
        </is>
      </c>
      <c r="C33" s="10" t="n">
        <v>12</v>
      </c>
      <c r="D33" s="8" t="inlineStr">
        <is>
          <t>London Rd, Marks Tey</t>
        </is>
      </c>
      <c r="E33" s="8" t="inlineStr">
        <is>
          <t>Colchester</t>
        </is>
      </c>
      <c r="F33" s="9" t="inlineStr">
        <is>
          <t>CO6 1DU</t>
        </is>
      </c>
      <c r="G33" s="10" t="n">
        <v>51.880799</v>
      </c>
      <c r="H33" s="10" t="n">
        <v>0.788623</v>
      </c>
      <c r="I33" s="11" t="n">
        <v>4.4</v>
      </c>
      <c r="J33" s="12">
        <f>HYPERLINK("https://www.google.com/maps/search/?api=1&amp;query=51.880799,0.788623", "Open Google Maps")</f>
        <v/>
      </c>
      <c r="K33" s="12">
        <f>HYPERLINK("https://waze.com/ul?ll=51.880799,0.788623&amp;navigate=yes", "Open Waze")</f>
        <v/>
      </c>
    </row>
    <row r="34" ht="20" customHeight="1">
      <c r="A34" s="3" t="inlineStr">
        <is>
          <t>Dartford (SC), UK</t>
        </is>
      </c>
      <c r="B34" s="4" t="inlineStr">
        <is>
          <t>OPEN</t>
        </is>
      </c>
      <c r="C34" s="5" t="n">
        <v>12</v>
      </c>
      <c r="D34" s="3" t="inlineStr">
        <is>
          <t>Unit 3 Capstan Court, Crossways Business Park</t>
        </is>
      </c>
      <c r="E34" s="3" t="inlineStr">
        <is>
          <t>Dartford</t>
        </is>
      </c>
      <c r="F34" s="4" t="inlineStr">
        <is>
          <t>DA2 6SB</t>
        </is>
      </c>
      <c r="G34" s="5" t="n">
        <v>51.453544</v>
      </c>
      <c r="H34" s="5" t="n">
        <v>0.246683</v>
      </c>
      <c r="I34" s="6" t="n">
        <v>4.6</v>
      </c>
      <c r="J34" s="7">
        <f>HYPERLINK("https://www.google.com/maps/search/?api=1&amp;query=51.453544,0.246683", "Open Google Maps")</f>
        <v/>
      </c>
      <c r="K34" s="7">
        <f>HYPERLINK("https://waze.com/ul?ll=51.453544,0.246683&amp;navigate=yes", "Open Waze")</f>
        <v/>
      </c>
    </row>
    <row r="35" ht="20" customHeight="1">
      <c r="A35" s="8" t="inlineStr">
        <is>
          <t>Dartford, UK</t>
        </is>
      </c>
      <c r="B35" s="9" t="inlineStr">
        <is>
          <t>OPEN</t>
        </is>
      </c>
      <c r="C35" s="10" t="n">
        <v>17</v>
      </c>
      <c r="D35" s="8" t="inlineStr">
        <is>
          <t>Bluewater Parkway, Greenhithe, Kent</t>
        </is>
      </c>
      <c r="E35" s="8" t="inlineStr">
        <is>
          <t>London</t>
        </is>
      </c>
      <c r="F35" s="9" t="inlineStr">
        <is>
          <t>DA9 9ST</t>
        </is>
      </c>
      <c r="G35" s="10" t="n">
        <v>51.438052</v>
      </c>
      <c r="H35" s="10" t="n">
        <v>0.26879</v>
      </c>
      <c r="I35" s="11" t="n">
        <v>4.5</v>
      </c>
      <c r="J35" s="12">
        <f>HYPERLINK("https://www.google.com/maps/search/?api=1&amp;query=51.438052,0.26879", "Open Google Maps")</f>
        <v/>
      </c>
      <c r="K35" s="12">
        <f>HYPERLINK("https://waze.com/ul?ll=51.438052,0.26879&amp;navigate=yes", "Open Waze")</f>
        <v/>
      </c>
    </row>
    <row r="36" ht="20" customHeight="1">
      <c r="A36" s="3" t="inlineStr">
        <is>
          <t>Derby, UK</t>
        </is>
      </c>
      <c r="B36" s="4" t="inlineStr">
        <is>
          <t>OPEN</t>
        </is>
      </c>
      <c r="C36" s="5" t="n">
        <v>12</v>
      </c>
      <c r="D36" s="3" t="inlineStr">
        <is>
          <t>Derbion, Burrows Walk</t>
        </is>
      </c>
      <c r="E36" s="3" t="inlineStr">
        <is>
          <t>Derby</t>
        </is>
      </c>
      <c r="F36" s="4" t="inlineStr">
        <is>
          <t>DE12 2PL</t>
        </is>
      </c>
      <c r="G36" s="5" t="n">
        <v>52.918393</v>
      </c>
      <c r="H36" s="5" t="n">
        <v>-1.471591</v>
      </c>
      <c r="I36" s="6" t="n">
        <v>4.7</v>
      </c>
      <c r="J36" s="7">
        <f>HYPERLINK("https://www.google.com/maps/search/?api=1&amp;query=52.918393,-1.471591", "Open Google Maps")</f>
        <v/>
      </c>
      <c r="K36" s="7">
        <f>HYPERLINK("https://waze.com/ul?ll=52.918393,-1.471591&amp;navigate=yes", "Open Waze")</f>
        <v/>
      </c>
    </row>
    <row r="37" ht="20" customHeight="1">
      <c r="A37" s="8" t="inlineStr">
        <is>
          <t>Dorking, UK</t>
        </is>
      </c>
      <c r="B37" s="9" t="inlineStr">
        <is>
          <t>OPEN</t>
        </is>
      </c>
      <c r="C37" s="10" t="n">
        <v>8</v>
      </c>
      <c r="D37" s="8" t="inlineStr">
        <is>
          <t>Denbies Wine Estate, London Rd</t>
        </is>
      </c>
      <c r="E37" s="8" t="inlineStr">
        <is>
          <t>Dorking</t>
        </is>
      </c>
      <c r="F37" s="9" t="inlineStr">
        <is>
          <t>RH5 6AA</t>
        </is>
      </c>
      <c r="G37" s="10" t="n">
        <v>51.246978</v>
      </c>
      <c r="H37" s="10" t="n">
        <v>-0.331095</v>
      </c>
      <c r="I37" s="11" t="n">
        <v>4.6</v>
      </c>
      <c r="J37" s="12">
        <f>HYPERLINK("https://www.google.com/maps/search/?api=1&amp;query=51.246978,-0.331095", "Open Google Maps")</f>
        <v/>
      </c>
      <c r="K37" s="12">
        <f>HYPERLINK("https://waze.com/ul?ll=51.246978,-0.331095&amp;navigate=yes", "Open Waze")</f>
        <v/>
      </c>
    </row>
    <row r="38" ht="20" customHeight="1">
      <c r="A38" s="3" t="inlineStr">
        <is>
          <t>Dover, UK</t>
        </is>
      </c>
      <c r="B38" s="4" t="inlineStr">
        <is>
          <t>OPEN</t>
        </is>
      </c>
      <c r="C38" s="5" t="n">
        <v>11</v>
      </c>
      <c r="D38" s="3" t="inlineStr">
        <is>
          <t>St. James Street</t>
        </is>
      </c>
      <c r="E38" s="3" t="inlineStr">
        <is>
          <t>Dover</t>
        </is>
      </c>
      <c r="F38" s="4" t="inlineStr">
        <is>
          <t>CT16 1QD</t>
        </is>
      </c>
      <c r="G38" s="5" t="n">
        <v>51.125097</v>
      </c>
      <c r="H38" s="5" t="n">
        <v>1.315851</v>
      </c>
      <c r="I38" s="6" t="n">
        <v>4.6</v>
      </c>
      <c r="J38" s="7">
        <f>HYPERLINK("https://www.google.com/maps/search/?api=1&amp;query=51.125097,1.315851", "Open Google Maps")</f>
        <v/>
      </c>
      <c r="K38" s="7">
        <f>HYPERLINK("https://waze.com/ul?ll=51.125097,1.315851&amp;navigate=yes", "Open Waze")</f>
        <v/>
      </c>
    </row>
    <row r="39" ht="20" customHeight="1">
      <c r="A39" s="8" t="inlineStr">
        <is>
          <t>Dundee, UK</t>
        </is>
      </c>
      <c r="B39" s="9" t="inlineStr">
        <is>
          <t>OPEN</t>
        </is>
      </c>
      <c r="C39" s="10" t="n">
        <v>8</v>
      </c>
      <c r="D39" s="8" t="inlineStr">
        <is>
          <t>The Landmark Hotel, Kingsway W</t>
        </is>
      </c>
      <c r="E39" s="8" t="inlineStr">
        <is>
          <t>Dundee</t>
        </is>
      </c>
      <c r="F39" s="9" t="inlineStr">
        <is>
          <t>DD2 5JT</t>
        </is>
      </c>
      <c r="G39" s="10" t="n">
        <v>56.466428</v>
      </c>
      <c r="H39" s="10" t="n">
        <v>-3.062962</v>
      </c>
      <c r="I39" s="11" t="n">
        <v>4.6</v>
      </c>
      <c r="J39" s="12">
        <f>HYPERLINK("https://www.google.com/maps/search/?api=1&amp;query=56.466428,-3.062962", "Open Google Maps")</f>
        <v/>
      </c>
      <c r="K39" s="12">
        <f>HYPERLINK("https://waze.com/ul?ll=56.466428,-3.062962&amp;navigate=yes", "Open Waze")</f>
        <v/>
      </c>
    </row>
    <row r="40" ht="20" customHeight="1">
      <c r="A40" s="3" t="inlineStr">
        <is>
          <t>Dungannon, UK</t>
        </is>
      </c>
      <c r="B40" s="4" t="inlineStr">
        <is>
          <t>OPEN</t>
        </is>
      </c>
      <c r="C40" s="5" t="n">
        <v>4</v>
      </c>
      <c r="D40" s="3" t="inlineStr">
        <is>
          <t>Linen Ct, Moygashel</t>
        </is>
      </c>
      <c r="E40" s="3" t="inlineStr">
        <is>
          <t>Dungannon</t>
        </is>
      </c>
      <c r="F40" s="4" t="inlineStr">
        <is>
          <t>BT71 7BF</t>
        </is>
      </c>
      <c r="G40" s="5" t="n">
        <v>54.487096</v>
      </c>
      <c r="H40" s="5" t="n">
        <v>-6.750724</v>
      </c>
      <c r="I40" s="6" t="n">
        <v>4.7</v>
      </c>
      <c r="J40" s="7">
        <f>HYPERLINK("https://www.google.com/maps/search/?api=1&amp;query=54.487096,-6.750724", "Open Google Maps")</f>
        <v/>
      </c>
      <c r="K40" s="7">
        <f>HYPERLINK("https://waze.com/ul?ll=54.487096,-6.750724&amp;navigate=yes", "Open Waze")</f>
        <v/>
      </c>
    </row>
    <row r="41" ht="20" customHeight="1">
      <c r="A41" s="8" t="inlineStr">
        <is>
          <t>Durham, UK</t>
        </is>
      </c>
      <c r="B41" s="9" t="inlineStr">
        <is>
          <t>OPEN</t>
        </is>
      </c>
      <c r="C41" s="10" t="n">
        <v>19</v>
      </c>
      <c r="D41" s="8" t="inlineStr">
        <is>
          <t>Rosalind Franklin Wy</t>
        </is>
      </c>
      <c r="E41" s="8" t="inlineStr">
        <is>
          <t>Durham</t>
        </is>
      </c>
      <c r="F41" s="9" t="inlineStr">
        <is>
          <t>DH6 5NP</t>
        </is>
      </c>
      <c r="G41" s="10" t="n">
        <v>54.726926</v>
      </c>
      <c r="H41" s="10" t="n">
        <v>-1.528211</v>
      </c>
      <c r="I41" s="11" t="n">
        <v>4.5</v>
      </c>
      <c r="J41" s="12">
        <f>HYPERLINK("https://www.google.com/maps/search/?api=1&amp;query=54.726926,-1.528211", "Open Google Maps")</f>
        <v/>
      </c>
      <c r="K41" s="12">
        <f>HYPERLINK("https://waze.com/ul?ll=54.726926,-1.528211&amp;navigate=yes", "Open Waze")</f>
        <v/>
      </c>
    </row>
    <row r="42" ht="20" customHeight="1">
      <c r="A42" s="3" t="inlineStr">
        <is>
          <t>Edinburgh, UK</t>
        </is>
      </c>
      <c r="B42" s="4" t="inlineStr">
        <is>
          <t>OPEN</t>
        </is>
      </c>
      <c r="C42" s="5" t="n">
        <v>2</v>
      </c>
      <c r="D42" s="3" t="inlineStr">
        <is>
          <t>Almond Rd</t>
        </is>
      </c>
      <c r="E42" s="3" t="inlineStr">
        <is>
          <t>Edinburgh</t>
        </is>
      </c>
      <c r="F42" s="4" t="inlineStr">
        <is>
          <t>EH28 8AU</t>
        </is>
      </c>
      <c r="G42" s="5" t="n">
        <v>55.945361</v>
      </c>
      <c r="H42" s="5" t="n">
        <v>-3.366667</v>
      </c>
      <c r="I42" s="6" t="n">
        <v>4.3</v>
      </c>
      <c r="J42" s="7">
        <f>HYPERLINK("https://www.google.com/maps/search/?api=1&amp;query=55.945361,-3.366667", "Open Google Maps")</f>
        <v/>
      </c>
      <c r="K42" s="7">
        <f>HYPERLINK("https://waze.com/ul?ll=55.945361,-3.366667&amp;navigate=yes", "Open Waze")</f>
        <v/>
      </c>
    </row>
    <row r="43" ht="20" customHeight="1">
      <c r="A43" s="8" t="inlineStr">
        <is>
          <t>Edinburgh, UK - Newbridge (SC)</t>
        </is>
      </c>
      <c r="B43" s="9" t="inlineStr">
        <is>
          <t>OPEN</t>
        </is>
      </c>
      <c r="C43" s="10" t="n">
        <v>16</v>
      </c>
      <c r="D43" s="8" t="inlineStr">
        <is>
          <t>23 Cliftonhall Road</t>
        </is>
      </c>
      <c r="E43" s="8" t="inlineStr">
        <is>
          <t>Edinburgh</t>
        </is>
      </c>
      <c r="F43" s="9" t="inlineStr">
        <is>
          <t>EH28 8PW</t>
        </is>
      </c>
      <c r="G43" s="10" t="n">
        <v>55.93391</v>
      </c>
      <c r="H43" s="10" t="n">
        <v>-3.407749</v>
      </c>
      <c r="I43" s="11" t="n">
        <v>4.6</v>
      </c>
      <c r="J43" s="12">
        <f>HYPERLINK("https://www.google.com/maps/search/?api=1&amp;query=55.93391,-3.407749", "Open Google Maps")</f>
        <v/>
      </c>
      <c r="K43" s="12">
        <f>HYPERLINK("https://waze.com/ul?ll=55.93391,-3.407749&amp;navigate=yes", "Open Waze")</f>
        <v/>
      </c>
    </row>
    <row r="44" ht="20" customHeight="1">
      <c r="A44" s="3" t="inlineStr">
        <is>
          <t>Eurocentral, UK</t>
        </is>
      </c>
      <c r="B44" s="4" t="inlineStr">
        <is>
          <t>OPEN</t>
        </is>
      </c>
      <c r="C44" s="5" t="n">
        <v>18</v>
      </c>
      <c r="D44" s="3" t="inlineStr">
        <is>
          <t>1-3 Parklands Ave</t>
        </is>
      </c>
      <c r="E44" s="3" t="inlineStr">
        <is>
          <t>Motherwell</t>
        </is>
      </c>
      <c r="F44" s="4" t="inlineStr">
        <is>
          <t>ML1 4WQ</t>
        </is>
      </c>
      <c r="G44" s="5" t="n">
        <v>55.835905</v>
      </c>
      <c r="H44" s="5" t="n">
        <v>-3.984247</v>
      </c>
      <c r="I44" s="6" t="n">
        <v>4.4</v>
      </c>
      <c r="J44" s="7">
        <f>HYPERLINK("https://www.google.com/maps/search/?api=1&amp;query=55.835905,-3.984247", "Open Google Maps")</f>
        <v/>
      </c>
      <c r="K44" s="7">
        <f>HYPERLINK("https://waze.com/ul?ll=55.835905,-3.984247&amp;navigate=yes", "Open Waze")</f>
        <v/>
      </c>
    </row>
    <row r="45" ht="20" customHeight="1">
      <c r="A45" s="8" t="inlineStr">
        <is>
          <t>Exeter, UK</t>
        </is>
      </c>
      <c r="B45" s="9" t="inlineStr">
        <is>
          <t>OPEN</t>
        </is>
      </c>
      <c r="C45" s="10" t="n">
        <v>32</v>
      </c>
      <c r="D45" s="8" t="inlineStr">
        <is>
          <t>Exeter Services, Sandygate Roundabout, J30, M5</t>
        </is>
      </c>
      <c r="E45" s="8" t="inlineStr">
        <is>
          <t>Exeter</t>
        </is>
      </c>
      <c r="F45" s="9" t="inlineStr">
        <is>
          <t>EX2 7HF</t>
        </is>
      </c>
      <c r="G45" s="10" t="n">
        <v>50.715615</v>
      </c>
      <c r="H45" s="10" t="n">
        <v>-3.464942</v>
      </c>
      <c r="I45" s="11" t="n">
        <v>4.7</v>
      </c>
      <c r="J45" s="12">
        <f>HYPERLINK("https://www.google.com/maps/search/?api=1&amp;query=50.715615,-3.464942", "Open Google Maps")</f>
        <v/>
      </c>
      <c r="K45" s="12">
        <f>HYPERLINK("https://waze.com/ul?ll=50.715615,-3.464942&amp;navigate=yes", "Open Waze")</f>
        <v/>
      </c>
    </row>
    <row r="46" ht="20" customHeight="1">
      <c r="A46" s="3" t="inlineStr">
        <is>
          <t>Exeter, UK - Darts Farm</t>
        </is>
      </c>
      <c r="B46" s="4" t="inlineStr">
        <is>
          <t>OPEN</t>
        </is>
      </c>
      <c r="C46" s="5" t="n">
        <v>12</v>
      </c>
      <c r="D46" s="3" t="inlineStr">
        <is>
          <t>Darts Farm Village</t>
        </is>
      </c>
      <c r="E46" s="3" t="inlineStr">
        <is>
          <t>Exeter</t>
        </is>
      </c>
      <c r="F46" s="4" t="inlineStr">
        <is>
          <t>EX3 0QH</t>
        </is>
      </c>
      <c r="G46" s="5" t="n">
        <v>50.685995</v>
      </c>
      <c r="H46" s="5" t="n">
        <v>-3.449987</v>
      </c>
      <c r="I46" s="6" t="n">
        <v>4.5</v>
      </c>
      <c r="J46" s="7">
        <f>HYPERLINK("https://www.google.com/maps/search/?api=1&amp;query=50.685995,-3.449987", "Open Google Maps")</f>
        <v/>
      </c>
      <c r="K46" s="7">
        <f>HYPERLINK("https://waze.com/ul?ll=50.685995,-3.449987&amp;navigate=yes", "Open Waze")</f>
        <v/>
      </c>
    </row>
    <row r="47" ht="20" customHeight="1">
      <c r="A47" s="8" t="inlineStr">
        <is>
          <t>Exeter, UK - Exeter Service Centre (SC)</t>
        </is>
      </c>
      <c r="B47" s="9" t="inlineStr">
        <is>
          <t>OPEN</t>
        </is>
      </c>
      <c r="C47" s="10" t="n">
        <v>12</v>
      </c>
      <c r="D47" s="8" t="inlineStr">
        <is>
          <t>16 Matford Way</t>
        </is>
      </c>
      <c r="E47" s="8" t="inlineStr">
        <is>
          <t>Exeter</t>
        </is>
      </c>
      <c r="F47" s="9" t="inlineStr">
        <is>
          <t>EX2 8FN</t>
        </is>
      </c>
      <c r="G47" s="10" t="n">
        <v>50.693717</v>
      </c>
      <c r="H47" s="10" t="n">
        <v>-3.512591</v>
      </c>
      <c r="I47" s="11" t="n">
        <v>4.4</v>
      </c>
      <c r="J47" s="12">
        <f>HYPERLINK("https://www.google.com/maps/search/?api=1&amp;query=50.693717,-3.512591", "Open Google Maps")</f>
        <v/>
      </c>
      <c r="K47" s="12">
        <f>HYPERLINK("https://waze.com/ul?ll=50.693717,-3.512591&amp;navigate=yes", "Open Waze")</f>
        <v/>
      </c>
    </row>
    <row r="48" ht="20" customHeight="1">
      <c r="A48" s="3" t="inlineStr">
        <is>
          <t>Faversham, UK</t>
        </is>
      </c>
      <c r="B48" s="4" t="inlineStr">
        <is>
          <t>OPEN</t>
        </is>
      </c>
      <c r="C48" s="5" t="n">
        <v>15</v>
      </c>
      <c r="D48" s="3" t="inlineStr">
        <is>
          <t>Selling Rd</t>
        </is>
      </c>
      <c r="E48" s="3" t="inlineStr">
        <is>
          <t>Faversham</t>
        </is>
      </c>
      <c r="F48" s="4" t="inlineStr">
        <is>
          <t>ME13 8XF</t>
        </is>
      </c>
      <c r="G48" s="5" t="n">
        <v>51.305512</v>
      </c>
      <c r="H48" s="5" t="n">
        <v>0.902145</v>
      </c>
      <c r="I48" s="6" t="n">
        <v>4.6</v>
      </c>
      <c r="J48" s="7">
        <f>HYPERLINK("https://www.google.com/maps/search/?api=1&amp;query=51.305512,0.902145", "Open Google Maps")</f>
        <v/>
      </c>
      <c r="K48" s="7">
        <f>HYPERLINK("https://waze.com/ul?ll=51.305512,0.902145&amp;navigate=yes", "Open Waze")</f>
        <v/>
      </c>
    </row>
    <row r="49" ht="20" customHeight="1">
      <c r="A49" s="8" t="inlineStr">
        <is>
          <t>Ferrybridge, UK</t>
        </is>
      </c>
      <c r="B49" s="9" t="inlineStr">
        <is>
          <t>OPEN</t>
        </is>
      </c>
      <c r="C49" s="10" t="n">
        <v>18</v>
      </c>
      <c r="D49" s="8" t="inlineStr">
        <is>
          <t>Ferrybridge Interchange, A1-M62</t>
        </is>
      </c>
      <c r="E49" s="8" t="inlineStr">
        <is>
          <t>Knottingley</t>
        </is>
      </c>
      <c r="F49" s="9" t="inlineStr">
        <is>
          <t>WF11 0AF</t>
        </is>
      </c>
      <c r="G49" s="10" t="n">
        <v>53.698571</v>
      </c>
      <c r="H49" s="10" t="n">
        <v>-1.265555</v>
      </c>
      <c r="I49" s="11" t="n">
        <v>4.3</v>
      </c>
      <c r="J49" s="12">
        <f>HYPERLINK("https://www.google.com/maps/search/?api=1&amp;query=53.698571,-1.265555", "Open Google Maps")</f>
        <v/>
      </c>
      <c r="K49" s="12">
        <f>HYPERLINK("https://waze.com/ul?ll=53.698571,-1.265555&amp;navigate=yes", "Open Waze")</f>
        <v/>
      </c>
    </row>
    <row r="50" ht="20" customHeight="1">
      <c r="A50" s="3" t="inlineStr">
        <is>
          <t>Fleet, UK - Northbound</t>
        </is>
      </c>
      <c r="B50" s="4" t="inlineStr">
        <is>
          <t>OPEN</t>
        </is>
      </c>
      <c r="C50" s="5" t="n">
        <v>8</v>
      </c>
      <c r="D50" s="3" t="inlineStr">
        <is>
          <t>Fleet Services Northbound, J33, M3</t>
        </is>
      </c>
      <c r="E50" s="3" t="inlineStr">
        <is>
          <t>Fleet</t>
        </is>
      </c>
      <c r="F50" s="4" t="inlineStr">
        <is>
          <t>GU51 1AA</t>
        </is>
      </c>
      <c r="G50" s="5" t="n">
        <v>51.296156</v>
      </c>
      <c r="H50" s="5" t="n">
        <v>-0.857274</v>
      </c>
      <c r="I50" s="6" t="n">
        <v>4.4</v>
      </c>
      <c r="J50" s="7">
        <f>HYPERLINK("https://www.google.com/maps/search/?api=1&amp;query=51.296156,-0.857274", "Open Google Maps")</f>
        <v/>
      </c>
      <c r="K50" s="7">
        <f>HYPERLINK("https://waze.com/ul?ll=51.296156,-0.857274&amp;navigate=yes", "Open Waze")</f>
        <v/>
      </c>
    </row>
    <row r="51" ht="20" customHeight="1">
      <c r="A51" s="8" t="inlineStr">
        <is>
          <t>Fleet, UK - Southbound</t>
        </is>
      </c>
      <c r="B51" s="9" t="inlineStr">
        <is>
          <t>OPEN</t>
        </is>
      </c>
      <c r="C51" s="10" t="n">
        <v>8</v>
      </c>
      <c r="D51" s="8" t="inlineStr">
        <is>
          <t>Fleet Services Services, Southbound, M3</t>
        </is>
      </c>
      <c r="E51" s="8" t="inlineStr">
        <is>
          <t>Fleet</t>
        </is>
      </c>
      <c r="F51" s="9" t="inlineStr">
        <is>
          <t>GU51 1AA</t>
        </is>
      </c>
      <c r="G51" s="10" t="n">
        <v>51.295806</v>
      </c>
      <c r="H51" s="10" t="n">
        <v>-0.854643</v>
      </c>
      <c r="I51" s="11" t="n">
        <v>4.6</v>
      </c>
      <c r="J51" s="12">
        <f>HYPERLINK("https://www.google.com/maps/search/?api=1&amp;query=51.295806,-0.854643", "Open Google Maps")</f>
        <v/>
      </c>
      <c r="K51" s="12">
        <f>HYPERLINK("https://waze.com/ul?ll=51.295806,-0.854643&amp;navigate=yes", "Open Waze")</f>
        <v/>
      </c>
    </row>
    <row r="52" ht="20" customHeight="1">
      <c r="A52" s="3" t="inlineStr">
        <is>
          <t>Flimwell, UK</t>
        </is>
      </c>
      <c r="B52" s="4" t="inlineStr">
        <is>
          <t>OPEN</t>
        </is>
      </c>
      <c r="C52" s="5" t="n">
        <v>6</v>
      </c>
      <c r="D52" s="3" t="inlineStr">
        <is>
          <t>Hawkhurst Rd, Ticehurst</t>
        </is>
      </c>
      <c r="E52" s="3" t="inlineStr">
        <is>
          <t>Wadhurst</t>
        </is>
      </c>
      <c r="F52" s="4" t="inlineStr">
        <is>
          <t>TN5 7FJ</t>
        </is>
      </c>
      <c r="G52" s="5" t="n">
        <v>51.05251</v>
      </c>
      <c r="H52" s="5" t="n">
        <v>0.45483</v>
      </c>
      <c r="I52" s="6" t="n">
        <v>4.6</v>
      </c>
      <c r="J52" s="7">
        <f>HYPERLINK("https://www.google.com/maps/search/?api=1&amp;query=51.05251,0.45483", "Open Google Maps")</f>
        <v/>
      </c>
      <c r="K52" s="7">
        <f>HYPERLINK("https://waze.com/ul?ll=51.05251,0.45483&amp;navigate=yes", "Open Waze")</f>
        <v/>
      </c>
    </row>
    <row r="53" ht="20" customHeight="1">
      <c r="A53" s="8" t="inlineStr">
        <is>
          <t>Flint Mountain, UK</t>
        </is>
      </c>
      <c r="B53" s="9" t="inlineStr">
        <is>
          <t>OPEN</t>
        </is>
      </c>
      <c r="C53" s="10" t="n">
        <v>8</v>
      </c>
      <c r="D53" s="8" t="inlineStr">
        <is>
          <t>Northop Rd</t>
        </is>
      </c>
      <c r="E53" s="8" t="inlineStr">
        <is>
          <t>Flint Mountain, Flint</t>
        </is>
      </c>
      <c r="F53" s="9" t="inlineStr">
        <is>
          <t>CH6 5QG</t>
        </is>
      </c>
      <c r="G53" s="10" t="n">
        <v>53.232263</v>
      </c>
      <c r="H53" s="10" t="n">
        <v>-3.142028</v>
      </c>
      <c r="I53" s="11" t="n">
        <v>4.3</v>
      </c>
      <c r="J53" s="12">
        <f>HYPERLINK("https://www.google.com/maps/search/?api=1&amp;query=53.232263,-3.142028", "Open Google Maps")</f>
        <v/>
      </c>
      <c r="K53" s="12">
        <f>HYPERLINK("https://waze.com/ul?ll=53.232263,-3.142028&amp;navigate=yes", "Open Waze")</f>
        <v/>
      </c>
    </row>
    <row r="54" ht="20" customHeight="1">
      <c r="A54" s="3" t="inlineStr">
        <is>
          <t>Folkestone, UK</t>
        </is>
      </c>
      <c r="B54" s="4" t="inlineStr">
        <is>
          <t>OPEN</t>
        </is>
      </c>
      <c r="C54" s="5" t="n">
        <v>12</v>
      </c>
      <c r="D54" s="3" t="inlineStr">
        <is>
          <t>Chariton High Street</t>
        </is>
      </c>
      <c r="E54" s="3" t="inlineStr">
        <is>
          <t>Folkestone</t>
        </is>
      </c>
      <c r="F54" s="4" t="inlineStr">
        <is>
          <t>CT18 8AN</t>
        </is>
      </c>
      <c r="G54" s="5" t="n">
        <v>51.089501</v>
      </c>
      <c r="H54" s="5" t="n">
        <v>1.124036</v>
      </c>
      <c r="I54" s="6" t="n">
        <v>4.4</v>
      </c>
      <c r="J54" s="7">
        <f>HYPERLINK("https://www.google.com/maps/search/?api=1&amp;query=51.089501,1.124036", "Open Google Maps")</f>
        <v/>
      </c>
      <c r="K54" s="7">
        <f>HYPERLINK("https://waze.com/ul?ll=51.089501,1.124036&amp;navigate=yes", "Open Waze")</f>
        <v/>
      </c>
    </row>
    <row r="55" ht="20" customHeight="1">
      <c r="A55" s="8" t="inlineStr">
        <is>
          <t>Folkestone, UK - France Bound Only</t>
        </is>
      </c>
      <c r="B55" s="9" t="inlineStr">
        <is>
          <t>OPEN</t>
        </is>
      </c>
      <c r="C55" s="10" t="n">
        <v>8</v>
      </c>
      <c r="D55" s="8" t="inlineStr">
        <is>
          <t>Eurotunnel UK terminal, Ashford Rd</t>
        </is>
      </c>
      <c r="E55" s="8" t="inlineStr">
        <is>
          <t>Folkestone</t>
        </is>
      </c>
      <c r="F55" s="9" t="inlineStr">
        <is>
          <t>CT18 8XX</t>
        </is>
      </c>
      <c r="G55" s="10" t="n">
        <v>51.096007</v>
      </c>
      <c r="H55" s="10" t="n">
        <v>1.120937</v>
      </c>
      <c r="I55" s="11" t="n">
        <v>4.7</v>
      </c>
      <c r="J55" s="12">
        <f>HYPERLINK("https://www.google.com/maps/search/?api=1&amp;query=51.096007,1.120937", "Open Google Maps")</f>
        <v/>
      </c>
      <c r="K55" s="12">
        <f>HYPERLINK("https://waze.com/ul?ll=51.096007,1.120937&amp;navigate=yes", "Open Waze")</f>
        <v/>
      </c>
    </row>
    <row r="56" ht="20" customHeight="1">
      <c r="A56" s="3" t="inlineStr">
        <is>
          <t>Fort William, UK</t>
        </is>
      </c>
      <c r="B56" s="4" t="inlineStr">
        <is>
          <t>OPEN</t>
        </is>
      </c>
      <c r="C56" s="5" t="n">
        <v>6</v>
      </c>
      <c r="D56" s="3" t="inlineStr">
        <is>
          <t>MacFarlane Way</t>
        </is>
      </c>
      <c r="E56" s="3" t="inlineStr">
        <is>
          <t>Fort William</t>
        </is>
      </c>
      <c r="F56" s="4" t="inlineStr">
        <is>
          <t>PH33 6AN</t>
        </is>
      </c>
      <c r="G56" s="5" t="n">
        <v>56.821388</v>
      </c>
      <c r="H56" s="5" t="n">
        <v>-5.103697</v>
      </c>
      <c r="I56" s="6" t="n">
        <v>4.4</v>
      </c>
      <c r="J56" s="7">
        <f>HYPERLINK("https://www.google.com/maps/search/?api=1&amp;query=56.821388,-5.103697", "Open Google Maps")</f>
        <v/>
      </c>
      <c r="K56" s="7">
        <f>HYPERLINK("https://waze.com/ul?ll=56.821388,-5.103697&amp;navigate=yes", "Open Waze")</f>
        <v/>
      </c>
    </row>
    <row r="57" ht="20" customHeight="1">
      <c r="A57" s="8" t="inlineStr">
        <is>
          <t>Frankley, UK - Southbound</t>
        </is>
      </c>
      <c r="B57" s="9" t="inlineStr">
        <is>
          <t>OPEN</t>
        </is>
      </c>
      <c r="C57" s="10" t="n">
        <v>16</v>
      </c>
      <c r="D57" s="8" t="inlineStr">
        <is>
          <t>Frankley Motorway Services, Illey Lane, Bromsgrove, Worcestershire</t>
        </is>
      </c>
      <c r="E57" s="8" t="inlineStr">
        <is>
          <t>Bromsgrove</t>
        </is>
      </c>
      <c r="F57" s="9" t="inlineStr">
        <is>
          <t>B32 4AR</t>
        </is>
      </c>
      <c r="G57" s="10" t="n">
        <v>52.429381</v>
      </c>
      <c r="H57" s="10" t="n">
        <v>-2.01729</v>
      </c>
      <c r="I57" s="11" t="n">
        <v>4.5</v>
      </c>
      <c r="J57" s="12">
        <f>HYPERLINK("https://www.google.com/maps/search/?api=1&amp;query=52.429381,-2.01729", "Open Google Maps")</f>
        <v/>
      </c>
      <c r="K57" s="12">
        <f>HYPERLINK("https://waze.com/ul?ll=52.429381,-2.01729&amp;navigate=yes", "Open Waze")</f>
        <v/>
      </c>
    </row>
    <row r="58" ht="20" customHeight="1">
      <c r="A58" s="3" t="inlineStr">
        <is>
          <t>Gatwick, UK - Gridserve Electric Forecourt</t>
        </is>
      </c>
      <c r="B58" s="4" t="inlineStr">
        <is>
          <t>OPEN</t>
        </is>
      </c>
      <c r="C58" s="5" t="n">
        <v>4</v>
      </c>
      <c r="D58" s="3" t="inlineStr">
        <is>
          <t>Gridserve Electric Forecourt, Gatwick Airport, Gatwick Airport Ring Rd South</t>
        </is>
      </c>
      <c r="E58" s="3" t="inlineStr">
        <is>
          <t>Crawley</t>
        </is>
      </c>
      <c r="F58" s="4" t="inlineStr">
        <is>
          <t>RH6 0NT</t>
        </is>
      </c>
      <c r="G58" s="5" t="n">
        <v>51.1563</v>
      </c>
      <c r="H58" s="5" t="n">
        <v>-0.1535</v>
      </c>
      <c r="I58" s="6" t="n">
        <v>4.4</v>
      </c>
      <c r="J58" s="7">
        <f>HYPERLINK("https://www.google.com/maps/search/?api=1&amp;query=51.1563,-0.1535", "Open Google Maps")</f>
        <v/>
      </c>
      <c r="K58" s="7">
        <f>HYPERLINK("https://waze.com/ul?ll=51.1563,-0.1535&amp;navigate=yes", "Open Waze")</f>
        <v/>
      </c>
    </row>
    <row r="59" ht="20" customHeight="1">
      <c r="A59" s="8" t="inlineStr">
        <is>
          <t>Glasgow (SC), UK</t>
        </is>
      </c>
      <c r="B59" s="9" t="inlineStr">
        <is>
          <t>OPEN</t>
        </is>
      </c>
      <c r="C59" s="10" t="n">
        <v>12</v>
      </c>
      <c r="D59" s="8" t="inlineStr">
        <is>
          <t>20 Kennedy Street</t>
        </is>
      </c>
      <c r="E59" s="8" t="inlineStr">
        <is>
          <t>Glasgow</t>
        </is>
      </c>
      <c r="F59" s="9" t="inlineStr">
        <is>
          <t>G4 0EB</t>
        </is>
      </c>
      <c r="G59" s="10" t="n">
        <v>55.8675</v>
      </c>
      <c r="H59" s="10" t="n">
        <v>-4.2392</v>
      </c>
      <c r="I59" s="11" t="n">
        <v>4.4</v>
      </c>
      <c r="J59" s="12">
        <f>HYPERLINK("https://www.google.com/maps/search/?api=1&amp;query=55.8675,-4.2392", "Open Google Maps")</f>
        <v/>
      </c>
      <c r="K59" s="12">
        <f>HYPERLINK("https://waze.com/ul?ll=55.8675,-4.2392&amp;navigate=yes", "Open Waze")</f>
        <v/>
      </c>
    </row>
    <row r="60" ht="20" customHeight="1">
      <c r="A60" s="3" t="inlineStr">
        <is>
          <t>Gloucester, UK - Northbound</t>
        </is>
      </c>
      <c r="B60" s="4" t="inlineStr">
        <is>
          <t>OPEN</t>
        </is>
      </c>
      <c r="C60" s="5" t="n">
        <v>8</v>
      </c>
      <c r="D60" s="3" t="inlineStr">
        <is>
          <t>M5, Gloucester Services</t>
        </is>
      </c>
      <c r="E60" s="3" t="inlineStr">
        <is>
          <t>Gloucester</t>
        </is>
      </c>
      <c r="F60" s="4" t="inlineStr">
        <is>
          <t>GL4 0DN</t>
        </is>
      </c>
      <c r="G60" s="5" t="n">
        <v>51.819999</v>
      </c>
      <c r="H60" s="5" t="n">
        <v>-2.227367</v>
      </c>
      <c r="I60" s="6" t="n">
        <v>4.5</v>
      </c>
      <c r="J60" s="7">
        <f>HYPERLINK("https://www.google.com/maps/search/?api=1&amp;query=51.819999,-2.227367", "Open Google Maps")</f>
        <v/>
      </c>
      <c r="K60" s="7">
        <f>HYPERLINK("https://waze.com/ul?ll=51.819999,-2.227367&amp;navigate=yes", "Open Waze")</f>
        <v/>
      </c>
    </row>
    <row r="61" ht="20" customHeight="1">
      <c r="A61" s="8" t="inlineStr">
        <is>
          <t>Gloucester, UK - Southbound</t>
        </is>
      </c>
      <c r="B61" s="9" t="inlineStr">
        <is>
          <t>OPEN</t>
        </is>
      </c>
      <c r="C61" s="10" t="n">
        <v>8</v>
      </c>
      <c r="D61" s="8" t="inlineStr">
        <is>
          <t>M5, Gloucester Services southbound</t>
        </is>
      </c>
      <c r="E61" s="8" t="inlineStr">
        <is>
          <t>Gloucester</t>
        </is>
      </c>
      <c r="F61" s="9" t="inlineStr">
        <is>
          <t>GL4 0DN</t>
        </is>
      </c>
      <c r="G61" s="10" t="n">
        <v>51.8188</v>
      </c>
      <c r="H61" s="10" t="n">
        <v>-2.2244</v>
      </c>
      <c r="I61" s="11" t="n">
        <v>4.5</v>
      </c>
      <c r="J61" s="12">
        <f>HYPERLINK("https://www.google.com/maps/search/?api=1&amp;query=51.8188,-2.2244", "Open Google Maps")</f>
        <v/>
      </c>
      <c r="K61" s="12">
        <f>HYPERLINK("https://waze.com/ul?ll=51.8188,-2.2244&amp;navigate=yes", "Open Waze")</f>
        <v/>
      </c>
    </row>
    <row r="62" ht="20" customHeight="1">
      <c r="A62" s="3" t="inlineStr">
        <is>
          <t>Gordano, UK</t>
        </is>
      </c>
      <c r="B62" s="4" t="inlineStr">
        <is>
          <t>OPEN</t>
        </is>
      </c>
      <c r="C62" s="5" t="n">
        <v>8</v>
      </c>
      <c r="D62" s="3" t="inlineStr">
        <is>
          <t>M5 Jct 19, by Welcome Break Services</t>
        </is>
      </c>
      <c r="E62" s="3" t="inlineStr">
        <is>
          <t>Bristol</t>
        </is>
      </c>
      <c r="F62" s="4" t="inlineStr">
        <is>
          <t>BS20 7XG</t>
        </is>
      </c>
      <c r="G62" s="5" t="n">
        <v>51.477207</v>
      </c>
      <c r="H62" s="5" t="n">
        <v>-2.706308</v>
      </c>
      <c r="I62" s="6" t="n">
        <v>4.5</v>
      </c>
      <c r="J62" s="7">
        <f>HYPERLINK("https://www.google.com/maps/search/?api=1&amp;query=51.477207,-2.706308", "Open Google Maps")</f>
        <v/>
      </c>
      <c r="K62" s="7">
        <f>HYPERLINK("https://waze.com/ul?ll=51.477207,-2.706308&amp;navigate=yes", "Open Waze")</f>
        <v/>
      </c>
    </row>
    <row r="63" ht="20" customHeight="1">
      <c r="A63" s="8" t="inlineStr">
        <is>
          <t>Grantham, UK</t>
        </is>
      </c>
      <c r="B63" s="9" t="inlineStr">
        <is>
          <t>OPEN</t>
        </is>
      </c>
      <c r="C63" s="10" t="n">
        <v>16</v>
      </c>
      <c r="D63" s="8" t="inlineStr">
        <is>
          <t>Grantham North Services, Trunk Rd</t>
        </is>
      </c>
      <c r="E63" s="8" t="inlineStr">
        <is>
          <t>Grantham</t>
        </is>
      </c>
      <c r="F63" s="9" t="inlineStr">
        <is>
          <t>NG32 2AB</t>
        </is>
      </c>
      <c r="G63" s="10" t="n">
        <v>52.948421</v>
      </c>
      <c r="H63" s="10" t="n">
        <v>-0.678315</v>
      </c>
      <c r="I63" s="11" t="n">
        <v>4.5</v>
      </c>
      <c r="J63" s="12">
        <f>HYPERLINK("https://www.google.com/maps/search/?api=1&amp;query=52.948421,-0.678315", "Open Google Maps")</f>
        <v/>
      </c>
      <c r="K63" s="12">
        <f>HYPERLINK("https://waze.com/ul?ll=52.948421,-0.678315&amp;navigate=yes", "Open Waze")</f>
        <v/>
      </c>
    </row>
    <row r="64" ht="20" customHeight="1">
      <c r="A64" s="3" t="inlineStr">
        <is>
          <t>Grays, UK</t>
        </is>
      </c>
      <c r="B64" s="4" t="inlineStr">
        <is>
          <t>OPEN</t>
        </is>
      </c>
      <c r="C64" s="5" t="n">
        <v>16</v>
      </c>
      <c r="D64" s="3" t="inlineStr">
        <is>
          <t>Lakeside Shopping Centre, W Thurrock Way</t>
        </is>
      </c>
      <c r="E64" s="3" t="inlineStr">
        <is>
          <t>Thurrock</t>
        </is>
      </c>
      <c r="F64" s="4" t="inlineStr">
        <is>
          <t>RM20 2ZG</t>
        </is>
      </c>
      <c r="G64" s="5" t="n">
        <v>51.489462</v>
      </c>
      <c r="H64" s="5" t="n">
        <v>0.286551</v>
      </c>
      <c r="I64" s="6" t="n">
        <v>4.6</v>
      </c>
      <c r="J64" s="7">
        <f>HYPERLINK("https://www.google.com/maps/search/?api=1&amp;query=51.489462,0.286551", "Open Google Maps")</f>
        <v/>
      </c>
      <c r="K64" s="7">
        <f>HYPERLINK("https://waze.com/ul?ll=51.489462,0.286551&amp;navigate=yes", "Open Waze")</f>
        <v/>
      </c>
    </row>
    <row r="65" ht="20" customHeight="1">
      <c r="A65" s="8" t="inlineStr">
        <is>
          <t>Gretna Green, UK</t>
        </is>
      </c>
      <c r="B65" s="9" t="inlineStr">
        <is>
          <t>OPEN</t>
        </is>
      </c>
      <c r="C65" s="10" t="n">
        <v>14</v>
      </c>
      <c r="D65" s="8" t="inlineStr">
        <is>
          <t>Gretna Services, J 21/22 , A74M</t>
        </is>
      </c>
      <c r="E65" s="8" t="inlineStr">
        <is>
          <t>Gretna Green</t>
        </is>
      </c>
      <c r="F65" s="9" t="inlineStr">
        <is>
          <t>DG16 5HQ</t>
        </is>
      </c>
      <c r="G65" s="10" t="n">
        <v>55.0078</v>
      </c>
      <c r="H65" s="10" t="n">
        <v>-3.083018</v>
      </c>
      <c r="I65" s="11" t="n">
        <v>4.7</v>
      </c>
      <c r="J65" s="12">
        <f>HYPERLINK("https://www.google.com/maps/search/?api=1&amp;query=55.0078,-3.083018", "Open Google Maps")</f>
        <v/>
      </c>
      <c r="K65" s="12">
        <f>HYPERLINK("https://waze.com/ul?ll=55.0078,-3.083018&amp;navigate=yes", "Open Waze")</f>
        <v/>
      </c>
    </row>
    <row r="66" ht="20" customHeight="1">
      <c r="A66" s="3" t="inlineStr">
        <is>
          <t>Gretna, UK - Caledonia Park</t>
        </is>
      </c>
      <c r="B66" s="4" t="inlineStr">
        <is>
          <t>OPEN</t>
        </is>
      </c>
      <c r="C66" s="5" t="n">
        <v>16</v>
      </c>
      <c r="D66" s="3" t="inlineStr">
        <is>
          <t>Glasgow Road 59</t>
        </is>
      </c>
      <c r="E66" s="3" t="inlineStr">
        <is>
          <t>Gretna</t>
        </is>
      </c>
      <c r="F66" s="4" t="inlineStr">
        <is>
          <t>DG16 5GG</t>
        </is>
      </c>
      <c r="G66" s="5" t="n">
        <v>54.99691</v>
      </c>
      <c r="H66" s="5" t="n">
        <v>-3.059767</v>
      </c>
      <c r="I66" s="6" t="n">
        <v>4.2</v>
      </c>
      <c r="J66" s="7">
        <f>HYPERLINK("https://www.google.com/maps/search/?api=1&amp;query=54.99691,-3.059767", "Open Google Maps")</f>
        <v/>
      </c>
      <c r="K66" s="7">
        <f>HYPERLINK("https://waze.com/ul?ll=54.99691,-3.059767&amp;navigate=yes", "Open Waze")</f>
        <v/>
      </c>
    </row>
    <row r="67" ht="20" customHeight="1">
      <c r="A67" s="8" t="inlineStr">
        <is>
          <t>Guildford, UK</t>
        </is>
      </c>
      <c r="B67" s="9" t="inlineStr">
        <is>
          <t>OPEN</t>
        </is>
      </c>
      <c r="C67" s="10" t="n">
        <v>12</v>
      </c>
      <c r="D67" s="8" t="inlineStr">
        <is>
          <t>Guildford Spectrum Leisure Centre, Parkway</t>
        </is>
      </c>
      <c r="E67" s="8" t="inlineStr">
        <is>
          <t>Guildford</t>
        </is>
      </c>
      <c r="F67" s="9" t="inlineStr">
        <is>
          <t>GU1 1UP</t>
        </is>
      </c>
      <c r="G67" s="10" t="n">
        <v>51.2495063</v>
      </c>
      <c r="H67" s="10" t="n">
        <v>-0.5597019</v>
      </c>
      <c r="I67" s="11" t="n">
        <v>4.6</v>
      </c>
      <c r="J67" s="12">
        <f>HYPERLINK("https://www.google.com/maps/search/?api=1&amp;query=51.2495063,-0.5597019", "Open Google Maps")</f>
        <v/>
      </c>
      <c r="K67" s="12">
        <f>HYPERLINK("https://waze.com/ul?ll=51.2495063,-0.5597019&amp;navigate=yes", "Open Waze")</f>
        <v/>
      </c>
    </row>
    <row r="68" ht="20" customHeight="1">
      <c r="A68" s="3" t="inlineStr">
        <is>
          <t>Haigh, UK</t>
        </is>
      </c>
      <c r="B68" s="4" t="inlineStr">
        <is>
          <t>OPEN</t>
        </is>
      </c>
      <c r="C68" s="5" t="n">
        <v>12</v>
      </c>
      <c r="D68" s="3" t="inlineStr">
        <is>
          <t>The Old Post Office, 600 Huddersfield Rd</t>
        </is>
      </c>
      <c r="E68" s="3" t="inlineStr">
        <is>
          <t>Barnsley</t>
        </is>
      </c>
      <c r="F68" s="4" t="inlineStr">
        <is>
          <t>S75 4DE</t>
        </is>
      </c>
      <c r="G68" s="5" t="n">
        <v>53.5999</v>
      </c>
      <c r="H68" s="5" t="n">
        <v>-1.54998</v>
      </c>
      <c r="I68" s="6" t="n">
        <v>4.4</v>
      </c>
      <c r="J68" s="7">
        <f>HYPERLINK("https://www.google.com/maps/search/?api=1&amp;query=53.5999,-1.54998", "Open Google Maps")</f>
        <v/>
      </c>
      <c r="K68" s="7">
        <f>HYPERLINK("https://waze.com/ul?ll=53.5999,-1.54998&amp;navigate=yes", "Open Waze")</f>
        <v/>
      </c>
    </row>
    <row r="69" ht="20" customHeight="1">
      <c r="A69" s="8" t="inlineStr">
        <is>
          <t>Harlington, UK</t>
        </is>
      </c>
      <c r="B69" s="9" t="inlineStr">
        <is>
          <t>OPEN</t>
        </is>
      </c>
      <c r="C69" s="10" t="n">
        <v>24</v>
      </c>
      <c r="D69" s="8" t="inlineStr">
        <is>
          <t>Harlington Road</t>
        </is>
      </c>
      <c r="E69" s="8" t="inlineStr">
        <is>
          <t>Stevenage</t>
        </is>
      </c>
      <c r="F69" s="9" t="inlineStr">
        <is>
          <t>CH44 2HE</t>
        </is>
      </c>
      <c r="G69" s="10" t="n">
        <v>51.961627</v>
      </c>
      <c r="H69" s="10" t="n">
        <v>-0.512235</v>
      </c>
      <c r="I69" s="11" t="n">
        <v>4.5</v>
      </c>
      <c r="J69" s="12">
        <f>HYPERLINK("https://www.google.com/maps/search/?api=1&amp;query=51.961627,-0.512235", "Open Google Maps")</f>
        <v/>
      </c>
      <c r="K69" s="12">
        <f>HYPERLINK("https://waze.com/ul?ll=51.961627,-0.512235&amp;navigate=yes", "Open Waze")</f>
        <v/>
      </c>
    </row>
    <row r="70" ht="20" customHeight="1">
      <c r="A70" s="3" t="inlineStr">
        <is>
          <t>Harrogate, UK</t>
        </is>
      </c>
      <c r="B70" s="4" t="inlineStr">
        <is>
          <t>OPEN</t>
        </is>
      </c>
      <c r="C70" s="5" t="n">
        <v>6</v>
      </c>
      <c r="D70" s="3" t="inlineStr">
        <is>
          <t>Crimple Hall, Leeds Rd</t>
        </is>
      </c>
      <c r="E70" s="3" t="inlineStr">
        <is>
          <t>Harrogate</t>
        </is>
      </c>
      <c r="F70" s="4" t="inlineStr">
        <is>
          <t>HG3 1EW</t>
        </is>
      </c>
      <c r="G70" s="5" t="n">
        <v>53.962273</v>
      </c>
      <c r="H70" s="5" t="n">
        <v>-1.52861</v>
      </c>
      <c r="I70" s="6" t="n">
        <v>4.4</v>
      </c>
      <c r="J70" s="7">
        <f>HYPERLINK("https://www.google.com/maps/search/?api=1&amp;query=53.962273,-1.52861", "Open Google Maps")</f>
        <v/>
      </c>
      <c r="K70" s="7">
        <f>HYPERLINK("https://waze.com/ul?ll=53.962273,-1.52861&amp;navigate=yes", "Open Waze")</f>
        <v/>
      </c>
    </row>
    <row r="71" ht="20" customHeight="1">
      <c r="A71" s="8" t="inlineStr">
        <is>
          <t>Hartshead Moor, UK - Eastbound</t>
        </is>
      </c>
      <c r="B71" s="9" t="inlineStr">
        <is>
          <t>OPEN</t>
        </is>
      </c>
      <c r="C71" s="10" t="n">
        <v>6</v>
      </c>
      <c r="D71" s="8" t="inlineStr">
        <is>
          <t>Hartshead Moor Services Eastbound, J24-25, M62</t>
        </is>
      </c>
      <c r="E71" s="8" t="inlineStr">
        <is>
          <t>Brighouse</t>
        </is>
      </c>
      <c r="F71" s="9" t="inlineStr">
        <is>
          <t>HD6 4JX</t>
        </is>
      </c>
      <c r="G71" s="10" t="n">
        <v>53.712</v>
      </c>
      <c r="H71" s="10" t="n">
        <v>-1.747</v>
      </c>
      <c r="I71" s="11" t="n">
        <v>4.7</v>
      </c>
      <c r="J71" s="12">
        <f>HYPERLINK("https://www.google.com/maps/search/?api=1&amp;query=53.712,-1.747", "Open Google Maps")</f>
        <v/>
      </c>
      <c r="K71" s="12">
        <f>HYPERLINK("https://waze.com/ul?ll=53.712,-1.747&amp;navigate=yes", "Open Waze")</f>
        <v/>
      </c>
    </row>
    <row r="72" ht="20" customHeight="1">
      <c r="A72" s="3" t="inlineStr">
        <is>
          <t>Hartshead Moor, UK - Westbound</t>
        </is>
      </c>
      <c r="B72" s="4" t="inlineStr">
        <is>
          <t>OPEN</t>
        </is>
      </c>
      <c r="C72" s="5" t="n">
        <v>6</v>
      </c>
      <c r="D72" s="3" t="inlineStr">
        <is>
          <t>Hartshead Moor Services Westbound, J24-25, M62</t>
        </is>
      </c>
      <c r="E72" s="3" t="inlineStr">
        <is>
          <t>Brighouse</t>
        </is>
      </c>
      <c r="F72" s="4" t="inlineStr">
        <is>
          <t>HD6 4JX</t>
        </is>
      </c>
      <c r="G72" s="5" t="n">
        <v>53.714315</v>
      </c>
      <c r="H72" s="5" t="n">
        <v>-1.743758</v>
      </c>
      <c r="I72" s="6" t="n">
        <v>4.5</v>
      </c>
      <c r="J72" s="7">
        <f>HYPERLINK("https://www.google.com/maps/search/?api=1&amp;query=53.714315,-1.743758", "Open Google Maps")</f>
        <v/>
      </c>
      <c r="K72" s="7">
        <f>HYPERLINK("https://waze.com/ul?ll=53.714315,-1.743758&amp;navigate=yes", "Open Waze")</f>
        <v/>
      </c>
    </row>
    <row r="73" ht="20" customHeight="1">
      <c r="A73" s="8" t="inlineStr">
        <is>
          <t>Heartlands, UK</t>
        </is>
      </c>
      <c r="B73" s="9" t="inlineStr">
        <is>
          <t>OPEN</t>
        </is>
      </c>
      <c r="C73" s="10" t="n">
        <v>4</v>
      </c>
      <c r="D73" s="8" t="inlineStr">
        <is>
          <t>Heartlands Village Square, Rigghouse View</t>
        </is>
      </c>
      <c r="E73" s="8" t="inlineStr">
        <is>
          <t>Whitburn</t>
        </is>
      </c>
      <c r="F73" s="9" t="inlineStr">
        <is>
          <t>EH47 0SE</t>
        </is>
      </c>
      <c r="G73" s="10" t="n">
        <v>55.863209</v>
      </c>
      <c r="H73" s="10" t="n">
        <v>-3.707971</v>
      </c>
      <c r="I73" s="11" t="n">
        <v>4.5</v>
      </c>
      <c r="J73" s="12">
        <f>HYPERLINK("https://www.google.com/maps/search/?api=1&amp;query=55.863209,-3.707971", "Open Google Maps")</f>
        <v/>
      </c>
      <c r="K73" s="12">
        <f>HYPERLINK("https://waze.com/ul?ll=55.863209,-3.707971&amp;navigate=yes", "Open Waze")</f>
        <v/>
      </c>
    </row>
    <row r="74" ht="20" customHeight="1">
      <c r="A74" s="3" t="inlineStr">
        <is>
          <t>Heathrow Airport, UK - Terminals 2 &amp; 3</t>
        </is>
      </c>
      <c r="B74" s="4" t="inlineStr">
        <is>
          <t>OPEN</t>
        </is>
      </c>
      <c r="C74" s="5" t="n">
        <v>16</v>
      </c>
      <c r="D74" s="3" t="inlineStr">
        <is>
          <t>Bath Road</t>
        </is>
      </c>
      <c r="E74" s="3" t="inlineStr">
        <is>
          <t>Hounslow</t>
        </is>
      </c>
      <c r="F74" s="4" t="inlineStr">
        <is>
          <t>TW6 2AQ</t>
        </is>
      </c>
      <c r="G74" s="5" t="n">
        <v>51.4804602</v>
      </c>
      <c r="H74" s="5" t="n">
        <v>-0.4442261</v>
      </c>
      <c r="I74" s="6" t="n">
        <v>4.3</v>
      </c>
      <c r="J74" s="7">
        <f>HYPERLINK("https://www.google.com/maps/search/?api=1&amp;query=51.4804602,-0.4442261", "Open Google Maps")</f>
        <v/>
      </c>
      <c r="K74" s="7">
        <f>HYPERLINK("https://waze.com/ul?ll=51.4804602,-0.4442261&amp;navigate=yes", "Open Waze")</f>
        <v/>
      </c>
    </row>
    <row r="75" ht="20" customHeight="1">
      <c r="A75" s="8" t="inlineStr">
        <is>
          <t>Heston, UK - Eastbound</t>
        </is>
      </c>
      <c r="B75" s="9" t="inlineStr">
        <is>
          <t>OPEN</t>
        </is>
      </c>
      <c r="C75" s="10" t="n">
        <v>16</v>
      </c>
      <c r="D75" s="8" t="inlineStr">
        <is>
          <t>Heston Services, J2/3, M4</t>
        </is>
      </c>
      <c r="E75" s="8" t="inlineStr">
        <is>
          <t>Hounslow</t>
        </is>
      </c>
      <c r="F75" s="9" t="inlineStr">
        <is>
          <t>TW5 9NB</t>
        </is>
      </c>
      <c r="G75" s="10" t="n">
        <v>51.488798</v>
      </c>
      <c r="H75" s="10" t="n">
        <v>-0.388672</v>
      </c>
      <c r="I75" s="11" t="n">
        <v>4.4</v>
      </c>
      <c r="J75" s="12">
        <f>HYPERLINK("https://www.google.com/maps/search/?api=1&amp;query=51.488798,-0.388672", "Open Google Maps")</f>
        <v/>
      </c>
      <c r="K75" s="12">
        <f>HYPERLINK("https://waze.com/ul?ll=51.488798,-0.388672&amp;navigate=yes", "Open Waze")</f>
        <v/>
      </c>
    </row>
    <row r="76" ht="20" customHeight="1">
      <c r="A76" s="3" t="inlineStr">
        <is>
          <t>Heston, UK - Westbound</t>
        </is>
      </c>
      <c r="B76" s="4" t="inlineStr">
        <is>
          <t>OPEN</t>
        </is>
      </c>
      <c r="C76" s="5" t="n">
        <v>12</v>
      </c>
      <c r="D76" s="3" t="inlineStr">
        <is>
          <t>Heston Services Westbound, J2/3, M4</t>
        </is>
      </c>
      <c r="E76" s="3" t="inlineStr">
        <is>
          <t>Hounslow</t>
        </is>
      </c>
      <c r="F76" s="4" t="inlineStr">
        <is>
          <t>TW5 9NB</t>
        </is>
      </c>
      <c r="G76" s="5" t="n">
        <v>51.4883</v>
      </c>
      <c r="H76" s="5" t="n">
        <v>-0.3957</v>
      </c>
      <c r="I76" s="6" t="n">
        <v>4.4</v>
      </c>
      <c r="J76" s="7">
        <f>HYPERLINK("https://www.google.com/maps/search/?api=1&amp;query=51.4883,-0.3957", "Open Google Maps")</f>
        <v/>
      </c>
      <c r="K76" s="7">
        <f>HYPERLINK("https://waze.com/ul?ll=51.4883,-0.3957&amp;navigate=yes", "Open Waze")</f>
        <v/>
      </c>
    </row>
    <row r="77" ht="20" customHeight="1">
      <c r="A77" s="8" t="inlineStr">
        <is>
          <t>Hilton Park, UK - Northbound</t>
        </is>
      </c>
      <c r="B77" s="9" t="inlineStr">
        <is>
          <t>OPEN</t>
        </is>
      </c>
      <c r="C77" s="10" t="n">
        <v>12</v>
      </c>
      <c r="D77" s="8" t="inlineStr">
        <is>
          <t>Hilton Park Services Northbound, J10A/11, M6</t>
        </is>
      </c>
      <c r="E77" s="8" t="inlineStr">
        <is>
          <t>Wolverhampton</t>
        </is>
      </c>
      <c r="F77" s="9" t="inlineStr">
        <is>
          <t>WV11 2AT</t>
        </is>
      </c>
      <c r="G77" s="10" t="n">
        <v>52.644063</v>
      </c>
      <c r="H77" s="10" t="n">
        <v>-2.058389</v>
      </c>
      <c r="I77" s="11" t="n">
        <v>4.5</v>
      </c>
      <c r="J77" s="12">
        <f>HYPERLINK("https://www.google.com/maps/search/?api=1&amp;query=52.644063,-2.058389", "Open Google Maps")</f>
        <v/>
      </c>
      <c r="K77" s="12">
        <f>HYPERLINK("https://waze.com/ul?ll=52.644063,-2.058389&amp;navigate=yes", "Open Waze")</f>
        <v/>
      </c>
    </row>
    <row r="78" ht="20" customHeight="1">
      <c r="A78" s="3" t="inlineStr">
        <is>
          <t>Hilton Park, UK - Southbound</t>
        </is>
      </c>
      <c r="B78" s="4" t="inlineStr">
        <is>
          <t>OPEN</t>
        </is>
      </c>
      <c r="C78" s="5" t="n">
        <v>12</v>
      </c>
      <c r="D78" s="3" t="inlineStr">
        <is>
          <t>Hilton Park Services Southbound, J10A/11, M6</t>
        </is>
      </c>
      <c r="E78" s="3" t="inlineStr">
        <is>
          <t>Wolverhampton</t>
        </is>
      </c>
      <c r="F78" s="4" t="inlineStr">
        <is>
          <t>WV11 2AT</t>
        </is>
      </c>
      <c r="G78" s="5" t="n">
        <v>52.644074</v>
      </c>
      <c r="H78" s="5" t="n">
        <v>-2.054209</v>
      </c>
      <c r="I78" s="6" t="n">
        <v>4.6</v>
      </c>
      <c r="J78" s="7">
        <f>HYPERLINK("https://www.google.com/maps/search/?api=1&amp;query=52.644074,-2.054209", "Open Google Maps")</f>
        <v/>
      </c>
      <c r="K78" s="7">
        <f>HYPERLINK("https://waze.com/ul?ll=52.644074,-2.054209&amp;navigate=yes", "Open Waze")</f>
        <v/>
      </c>
    </row>
    <row r="79" ht="20" customHeight="1">
      <c r="A79" s="8" t="inlineStr">
        <is>
          <t>Hopwood Park, UK</t>
        </is>
      </c>
      <c r="B79" s="9" t="inlineStr">
        <is>
          <t>OPEN</t>
        </is>
      </c>
      <c r="C79" s="10" t="n">
        <v>36</v>
      </c>
      <c r="D79" s="8" t="inlineStr">
        <is>
          <t>Hopwood Park Services, M42 Motorway, Junction 2 Redditch Road</t>
        </is>
      </c>
      <c r="E79" s="8" t="inlineStr">
        <is>
          <t>Birmingham</t>
        </is>
      </c>
      <c r="F79" s="9" t="inlineStr">
        <is>
          <t>B48 7AU</t>
        </is>
      </c>
      <c r="G79" s="10" t="n">
        <v>52.363197</v>
      </c>
      <c r="H79" s="10" t="n">
        <v>-1.945572</v>
      </c>
      <c r="I79" s="11" t="n">
        <v>4.6</v>
      </c>
      <c r="J79" s="12">
        <f>HYPERLINK("https://www.google.com/maps/search/?api=1&amp;query=52.363197,-1.945572", "Open Google Maps")</f>
        <v/>
      </c>
      <c r="K79" s="12">
        <f>HYPERLINK("https://waze.com/ul?ll=52.363197,-1.945572&amp;navigate=yes", "Open Waze")</f>
        <v/>
      </c>
    </row>
    <row r="80" ht="20" customHeight="1">
      <c r="A80" s="3" t="inlineStr">
        <is>
          <t>Hull, UK</t>
        </is>
      </c>
      <c r="B80" s="4" t="inlineStr">
        <is>
          <t>OPEN</t>
        </is>
      </c>
      <c r="C80" s="5" t="n">
        <v>12</v>
      </c>
      <c r="D80" s="3" t="inlineStr">
        <is>
          <t>St Anrews Quay</t>
        </is>
      </c>
      <c r="E80" s="3" t="inlineStr">
        <is>
          <t>Hull</t>
        </is>
      </c>
      <c r="F80" s="4" t="n"/>
      <c r="G80" s="5" t="n">
        <v>53.727895</v>
      </c>
      <c r="H80" s="5" t="n">
        <v>-0.370071</v>
      </c>
      <c r="I80" s="6" t="n">
        <v>4.8</v>
      </c>
      <c r="J80" s="7">
        <f>HYPERLINK("https://www.google.com/maps/search/?api=1&amp;query=53.727895,-0.370071", "Open Google Maps")</f>
        <v/>
      </c>
      <c r="K80" s="7">
        <f>HYPERLINK("https://waze.com/ul?ll=53.727895,-0.370071&amp;navigate=yes", "Open Waze")</f>
        <v/>
      </c>
    </row>
    <row r="81" ht="20" customHeight="1">
      <c r="A81" s="8" t="inlineStr">
        <is>
          <t>Inverness, UK</t>
        </is>
      </c>
      <c r="B81" s="9" t="inlineStr">
        <is>
          <t>OPEN</t>
        </is>
      </c>
      <c r="C81" s="10" t="n">
        <v>6</v>
      </c>
      <c r="D81" s="8" t="inlineStr">
        <is>
          <t>Rose Street Multi Storey Car Park</t>
        </is>
      </c>
      <c r="E81" s="8" t="inlineStr">
        <is>
          <t>Inverness</t>
        </is>
      </c>
      <c r="F81" s="9" t="inlineStr">
        <is>
          <t>IV1 1NQ</t>
        </is>
      </c>
      <c r="G81" s="10" t="n">
        <v>57.48171</v>
      </c>
      <c r="H81" s="10" t="n">
        <v>-4.225457</v>
      </c>
      <c r="I81" s="11" t="n">
        <v>4.6</v>
      </c>
      <c r="J81" s="12">
        <f>HYPERLINK("https://www.google.com/maps/search/?api=1&amp;query=57.48171,-4.225457", "Open Google Maps")</f>
        <v/>
      </c>
      <c r="K81" s="12">
        <f>HYPERLINK("https://waze.com/ul?ll=57.48171,-4.225457&amp;navigate=yes", "Open Waze")</f>
        <v/>
      </c>
    </row>
    <row r="82" ht="20" customHeight="1">
      <c r="A82" s="3" t="inlineStr">
        <is>
          <t>Ipswich, UK</t>
        </is>
      </c>
      <c r="B82" s="4" t="inlineStr">
        <is>
          <t>OPEN</t>
        </is>
      </c>
      <c r="C82" s="5" t="n">
        <v>12</v>
      </c>
      <c r="D82" s="3" t="inlineStr">
        <is>
          <t>Anglia Retail Park, 16 Anglia Parkway South</t>
        </is>
      </c>
      <c r="E82" s="3" t="inlineStr">
        <is>
          <t>Ipswich</t>
        </is>
      </c>
      <c r="F82" s="4" t="inlineStr">
        <is>
          <t>IP1 5QR</t>
        </is>
      </c>
      <c r="G82" s="5" t="n">
        <v>52.0842</v>
      </c>
      <c r="H82" s="5" t="n">
        <v>1.1175</v>
      </c>
      <c r="I82" s="6" t="n">
        <v>4.5</v>
      </c>
      <c r="J82" s="7">
        <f>HYPERLINK("https://www.google.com/maps/search/?api=1&amp;query=52.0842,1.1175", "Open Google Maps")</f>
        <v/>
      </c>
      <c r="K82" s="7">
        <f>HYPERLINK("https://waze.com/ul?ll=52.0842,1.1175&amp;navigate=yes", "Open Waze")</f>
        <v/>
      </c>
    </row>
    <row r="83" ht="20" customHeight="1">
      <c r="A83" s="8" t="inlineStr">
        <is>
          <t>Keele, UK - Northbound</t>
        </is>
      </c>
      <c r="B83" s="9" t="inlineStr">
        <is>
          <t>OPEN</t>
        </is>
      </c>
      <c r="C83" s="10" t="n">
        <v>8</v>
      </c>
      <c r="D83" s="8" t="inlineStr">
        <is>
          <t>Keele Services northbound, Whitmore Rd, J 5/16, M6</t>
        </is>
      </c>
      <c r="E83" s="8" t="inlineStr">
        <is>
          <t>Stoke-on-Trent</t>
        </is>
      </c>
      <c r="F83" s="9" t="inlineStr">
        <is>
          <t>ST5 5HG</t>
        </is>
      </c>
      <c r="G83" s="10" t="n">
        <v>52.993</v>
      </c>
      <c r="H83" s="10" t="n">
        <v>-2.2903</v>
      </c>
      <c r="I83" s="11" t="n">
        <v>4.6</v>
      </c>
      <c r="J83" s="12">
        <f>HYPERLINK("https://www.google.com/maps/search/?api=1&amp;query=52.993,-2.2903", "Open Google Maps")</f>
        <v/>
      </c>
      <c r="K83" s="12">
        <f>HYPERLINK("https://waze.com/ul?ll=52.993,-2.2903&amp;navigate=yes", "Open Waze")</f>
        <v/>
      </c>
    </row>
    <row r="84" ht="20" customHeight="1">
      <c r="A84" s="3" t="inlineStr">
        <is>
          <t>Keele, UK - Southbound</t>
        </is>
      </c>
      <c r="B84" s="4" t="inlineStr">
        <is>
          <t>OPEN</t>
        </is>
      </c>
      <c r="C84" s="5" t="n">
        <v>4</v>
      </c>
      <c r="D84" s="3" t="inlineStr">
        <is>
          <t>Keele Services northbound, Whitmore Rd, J 5/16, M6</t>
        </is>
      </c>
      <c r="E84" s="3" t="inlineStr">
        <is>
          <t>Stoke-on-Trent</t>
        </is>
      </c>
      <c r="F84" s="4" t="inlineStr">
        <is>
          <t>ST5 5HG</t>
        </is>
      </c>
      <c r="G84" s="5" t="n">
        <v>52.994116</v>
      </c>
      <c r="H84" s="5" t="n">
        <v>-2.290782</v>
      </c>
      <c r="I84" s="6" t="n">
        <v>4.6</v>
      </c>
      <c r="J84" s="7">
        <f>HYPERLINK("https://www.google.com/maps/search/?api=1&amp;query=52.994116,-2.290782", "Open Google Maps")</f>
        <v/>
      </c>
      <c r="K84" s="7">
        <f>HYPERLINK("https://waze.com/ul?ll=52.994116,-2.290782&amp;navigate=yes", "Open Waze")</f>
        <v/>
      </c>
    </row>
    <row r="85" ht="20" customHeight="1">
      <c r="A85" s="8" t="inlineStr">
        <is>
          <t>Kettering, UK</t>
        </is>
      </c>
      <c r="B85" s="9" t="inlineStr">
        <is>
          <t>OPEN</t>
        </is>
      </c>
      <c r="C85" s="10" t="n">
        <v>12</v>
      </c>
      <c r="D85" s="8" t="inlineStr">
        <is>
          <t>Barton Rd, Barton Seagrave, England</t>
        </is>
      </c>
      <c r="E85" s="8" t="inlineStr">
        <is>
          <t>Kettering</t>
        </is>
      </c>
      <c r="F85" s="9" t="inlineStr">
        <is>
          <t>NN15 6RS</t>
        </is>
      </c>
      <c r="G85" s="10" t="n">
        <v>52.386845</v>
      </c>
      <c r="H85" s="10" t="n">
        <v>-0.696897</v>
      </c>
      <c r="I85" s="11" t="n">
        <v>4.4</v>
      </c>
      <c r="J85" s="12">
        <f>HYPERLINK("https://www.google.com/maps/search/?api=1&amp;query=52.386845,-0.696897", "Open Google Maps")</f>
        <v/>
      </c>
      <c r="K85" s="12">
        <f>HYPERLINK("https://waze.com/ul?ll=52.386845,-0.696897&amp;navigate=yes", "Open Waze")</f>
        <v/>
      </c>
    </row>
    <row r="86" ht="20" customHeight="1">
      <c r="A86" s="3" t="inlineStr">
        <is>
          <t>King's Lynn, UK</t>
        </is>
      </c>
      <c r="B86" s="4" t="inlineStr">
        <is>
          <t>OPEN</t>
        </is>
      </c>
      <c r="C86" s="5" t="n">
        <v>8</v>
      </c>
      <c r="D86" s="3" t="inlineStr">
        <is>
          <t>Beveridge Way, Hardwick Narrow</t>
        </is>
      </c>
      <c r="E86" s="3" t="inlineStr">
        <is>
          <t>King's Lynn</t>
        </is>
      </c>
      <c r="F86" s="4" t="inlineStr">
        <is>
          <t>PE30 4NB</t>
        </is>
      </c>
      <c r="G86" s="5" t="n">
        <v>52.73516519868067</v>
      </c>
      <c r="H86" s="5" t="n">
        <v>0.4138348756162883</v>
      </c>
      <c r="I86" s="6" t="n">
        <v>4.5</v>
      </c>
      <c r="J86" s="7">
        <f>HYPERLINK("https://www.google.com/maps/search/?api=1&amp;query=52.73516519868067,0.4138348756162883", "Open Google Maps")</f>
        <v/>
      </c>
      <c r="K86" s="7">
        <f>HYPERLINK("https://waze.com/ul?ll=52.73516519868067,0.4138348756162883&amp;navigate=yes", "Open Waze")</f>
        <v/>
      </c>
    </row>
    <row r="87" ht="20" customHeight="1">
      <c r="A87" s="8" t="inlineStr">
        <is>
          <t>Kingston upon Thames, UK</t>
        </is>
      </c>
      <c r="B87" s="9" t="inlineStr">
        <is>
          <t>OPEN</t>
        </is>
      </c>
      <c r="C87" s="10" t="n">
        <v>16</v>
      </c>
      <c r="D87" s="8" t="inlineStr">
        <is>
          <t>Wood Street</t>
        </is>
      </c>
      <c r="E87" s="8" t="inlineStr">
        <is>
          <t>Kingston Upon Thames</t>
        </is>
      </c>
      <c r="F87" s="9" t="inlineStr">
        <is>
          <t>KT1 1TP</t>
        </is>
      </c>
      <c r="G87" s="10" t="n">
        <v>51.410728</v>
      </c>
      <c r="H87" s="10" t="n">
        <v>-0.307222</v>
      </c>
      <c r="I87" s="11" t="n">
        <v>4.5</v>
      </c>
      <c r="J87" s="12">
        <f>HYPERLINK("https://www.google.com/maps/search/?api=1&amp;query=51.410728,-0.307222", "Open Google Maps")</f>
        <v/>
      </c>
      <c r="K87" s="12">
        <f>HYPERLINK("https://waze.com/ul?ll=51.410728,-0.307222&amp;navigate=yes", "Open Waze")</f>
        <v/>
      </c>
    </row>
    <row r="88" ht="20" customHeight="1">
      <c r="A88" s="3" t="inlineStr">
        <is>
          <t>Larkhall, UK</t>
        </is>
      </c>
      <c r="B88" s="4" t="inlineStr">
        <is>
          <t>OPEN</t>
        </is>
      </c>
      <c r="C88" s="5" t="n">
        <v>16</v>
      </c>
      <c r="D88" s="3" t="inlineStr">
        <is>
          <t>Radstone Hotel, 3 Ayr Rd, M74 Jct 8</t>
        </is>
      </c>
      <c r="E88" s="3" t="inlineStr">
        <is>
          <t>Larkhall</t>
        </is>
      </c>
      <c r="F88" s="4" t="inlineStr">
        <is>
          <t>ML9 2TZ</t>
        </is>
      </c>
      <c r="G88" s="5" t="n">
        <v>55.7198</v>
      </c>
      <c r="H88" s="5" t="n">
        <v>-3.9536</v>
      </c>
      <c r="I88" s="6" t="n">
        <v>4.3</v>
      </c>
      <c r="J88" s="7">
        <f>HYPERLINK("https://www.google.com/maps/search/?api=1&amp;query=55.7198,-3.9536", "Open Google Maps")</f>
        <v/>
      </c>
      <c r="K88" s="7">
        <f>HYPERLINK("https://waze.com/ul?ll=55.7198,-3.9536&amp;navigate=yes", "Open Waze")</f>
        <v/>
      </c>
    </row>
    <row r="89" ht="20" customHeight="1">
      <c r="A89" s="8" t="inlineStr">
        <is>
          <t>Leeds, UK</t>
        </is>
      </c>
      <c r="B89" s="9" t="inlineStr">
        <is>
          <t>OPEN</t>
        </is>
      </c>
      <c r="C89" s="10" t="n">
        <v>2</v>
      </c>
      <c r="D89" s="8" t="inlineStr">
        <is>
          <t>Village Urban Resort Leeds South, Capitol Boulevard</t>
        </is>
      </c>
      <c r="E89" s="8" t="inlineStr">
        <is>
          <t>Leeds</t>
        </is>
      </c>
      <c r="F89" s="9" t="inlineStr">
        <is>
          <t>LS27 0TS</t>
        </is>
      </c>
      <c r="G89" s="10" t="n">
        <v>53.732769</v>
      </c>
      <c r="H89" s="10" t="n">
        <v>-1.585628</v>
      </c>
      <c r="I89" s="11" t="n">
        <v>4.4</v>
      </c>
      <c r="J89" s="12">
        <f>HYPERLINK("https://www.google.com/maps/search/?api=1&amp;query=53.732769,-1.585628", "Open Google Maps")</f>
        <v/>
      </c>
      <c r="K89" s="12">
        <f>HYPERLINK("https://waze.com/ul?ll=53.732769,-1.585628&amp;navigate=yes", "Open Waze")</f>
        <v/>
      </c>
    </row>
    <row r="90" ht="20" customHeight="1">
      <c r="A90" s="3" t="inlineStr">
        <is>
          <t>Leeds, UK - Whitehouse St (SC)</t>
        </is>
      </c>
      <c r="B90" s="4" t="inlineStr">
        <is>
          <t>OPEN</t>
        </is>
      </c>
      <c r="C90" s="5" t="n">
        <v>8</v>
      </c>
      <c r="D90" s="3" t="inlineStr">
        <is>
          <t>7 Whitehouse Street</t>
        </is>
      </c>
      <c r="E90" s="3" t="inlineStr">
        <is>
          <t>Leeds</t>
        </is>
      </c>
      <c r="F90" s="4" t="inlineStr">
        <is>
          <t>LS10 1AD</t>
        </is>
      </c>
      <c r="G90" s="5" t="n">
        <v>53.784492</v>
      </c>
      <c r="H90" s="5" t="n">
        <v>-1.532405</v>
      </c>
      <c r="I90" s="6" t="n">
        <v>4.4</v>
      </c>
      <c r="J90" s="7">
        <f>HYPERLINK("https://www.google.com/maps/search/?api=1&amp;query=53.784492,-1.532405", "Open Google Maps")</f>
        <v/>
      </c>
      <c r="K90" s="7">
        <f>HYPERLINK("https://waze.com/ul?ll=53.784492,-1.532405&amp;navigate=yes", "Open Waze")</f>
        <v/>
      </c>
    </row>
    <row r="91" ht="20" customHeight="1">
      <c r="A91" s="8" t="inlineStr">
        <is>
          <t>Leicester, UK</t>
        </is>
      </c>
      <c r="B91" s="9" t="inlineStr">
        <is>
          <t>OPEN</t>
        </is>
      </c>
      <c r="C91" s="10" t="n">
        <v>8</v>
      </c>
      <c r="D91" s="8" t="inlineStr">
        <is>
          <t>Grove Way, Fosse Park</t>
        </is>
      </c>
      <c r="E91" s="8" t="inlineStr">
        <is>
          <t>Enderby</t>
        </is>
      </c>
      <c r="F91" s="9" t="inlineStr">
        <is>
          <t>LE19 1UT</t>
        </is>
      </c>
      <c r="G91" s="10" t="n">
        <v>52.594635</v>
      </c>
      <c r="H91" s="10" t="n">
        <v>-1.180601</v>
      </c>
      <c r="I91" s="11" t="n">
        <v>4.6</v>
      </c>
      <c r="J91" s="12">
        <f>HYPERLINK("https://www.google.com/maps/search/?api=1&amp;query=52.594635,-1.180601", "Open Google Maps")</f>
        <v/>
      </c>
      <c r="K91" s="12">
        <f>HYPERLINK("https://waze.com/ul?ll=52.594635,-1.180601&amp;navigate=yes", "Open Waze")</f>
        <v/>
      </c>
    </row>
    <row r="92" ht="20" customHeight="1">
      <c r="A92" s="3" t="inlineStr">
        <is>
          <t>Leicester, UK - Beaumont Leys</t>
        </is>
      </c>
      <c r="B92" s="4" t="inlineStr">
        <is>
          <t>OPEN</t>
        </is>
      </c>
      <c r="C92" s="5" t="n">
        <v>12</v>
      </c>
      <c r="D92" s="3" t="inlineStr">
        <is>
          <t>Beaumont Shopping Centre, Beaumont Way.</t>
        </is>
      </c>
      <c r="E92" s="3" t="inlineStr">
        <is>
          <t>Enderby</t>
        </is>
      </c>
      <c r="F92" s="4" t="inlineStr">
        <is>
          <t>LE4 1DS</t>
        </is>
      </c>
      <c r="G92" s="5" t="n">
        <v>52.667077</v>
      </c>
      <c r="H92" s="5" t="n">
        <v>-1.167952</v>
      </c>
      <c r="I92" s="6" t="n">
        <v>4.5</v>
      </c>
      <c r="J92" s="7">
        <f>HYPERLINK("https://www.google.com/maps/search/?api=1&amp;query=52.667077,-1.167952", "Open Google Maps")</f>
        <v/>
      </c>
      <c r="K92" s="7">
        <f>HYPERLINK("https://waze.com/ul?ll=52.667077,-1.167952&amp;navigate=yes", "Open Waze")</f>
        <v/>
      </c>
    </row>
    <row r="93" ht="20" customHeight="1">
      <c r="A93" s="8" t="inlineStr">
        <is>
          <t>Leigh Delamere, UK - Westbound</t>
        </is>
      </c>
      <c r="B93" s="9" t="inlineStr">
        <is>
          <t>OPEN</t>
        </is>
      </c>
      <c r="C93" s="10" t="n">
        <v>16</v>
      </c>
      <c r="D93" s="8" t="inlineStr">
        <is>
          <t>Leigh Delamere Services Westbound, M4</t>
        </is>
      </c>
      <c r="E93" s="8" t="inlineStr">
        <is>
          <t>Chippenham</t>
        </is>
      </c>
      <c r="F93" s="9" t="inlineStr">
        <is>
          <t>SN14 6LB</t>
        </is>
      </c>
      <c r="G93" s="10" t="n">
        <v>51.510075</v>
      </c>
      <c r="H93" s="10" t="n">
        <v>-2.156118</v>
      </c>
      <c r="I93" s="11" t="n">
        <v>4.6</v>
      </c>
      <c r="J93" s="12">
        <f>HYPERLINK("https://www.google.com/maps/search/?api=1&amp;query=51.510075,-2.156118", "Open Google Maps")</f>
        <v/>
      </c>
      <c r="K93" s="12">
        <f>HYPERLINK("https://waze.com/ul?ll=51.510075,-2.156118&amp;navigate=yes", "Open Waze")</f>
        <v/>
      </c>
    </row>
    <row r="94" ht="20" customHeight="1">
      <c r="A94" s="3" t="inlineStr">
        <is>
          <t>Lifton, UK</t>
        </is>
      </c>
      <c r="B94" s="4" t="inlineStr">
        <is>
          <t>OPEN</t>
        </is>
      </c>
      <c r="C94" s="5" t="n">
        <v>16</v>
      </c>
      <c r="D94" s="3" t="inlineStr">
        <is>
          <t>1 Fore St.</t>
        </is>
      </c>
      <c r="E94" s="3" t="inlineStr">
        <is>
          <t>Lifton</t>
        </is>
      </c>
      <c r="F94" s="4" t="inlineStr">
        <is>
          <t>PL16 0AA</t>
        </is>
      </c>
      <c r="G94" s="5" t="n">
        <v>50.64372</v>
      </c>
      <c r="H94" s="5" t="n">
        <v>-4.28466</v>
      </c>
      <c r="I94" s="6" t="n">
        <v>4.7</v>
      </c>
      <c r="J94" s="7">
        <f>HYPERLINK("https://www.google.com/maps/search/?api=1&amp;query=50.64372,-4.28466", "Open Google Maps")</f>
        <v/>
      </c>
      <c r="K94" s="7">
        <f>HYPERLINK("https://waze.com/ul?ll=50.64372,-4.28466&amp;navigate=yes", "Open Waze")</f>
        <v/>
      </c>
    </row>
    <row r="95" ht="20" customHeight="1">
      <c r="A95" s="8" t="inlineStr">
        <is>
          <t>Lincoln (SC), UK</t>
        </is>
      </c>
      <c r="B95" s="9" t="inlineStr">
        <is>
          <t>OPEN</t>
        </is>
      </c>
      <c r="C95" s="10" t="n">
        <v>8</v>
      </c>
      <c r="D95" s="8" t="inlineStr">
        <is>
          <t>1 Turnstone Rd</t>
        </is>
      </c>
      <c r="E95" s="8" t="inlineStr">
        <is>
          <t>Lincoln</t>
        </is>
      </c>
      <c r="F95" s="9" t="inlineStr">
        <is>
          <t>LN6 3UA</t>
        </is>
      </c>
      <c r="G95" s="10" t="n">
        <v>53.19928</v>
      </c>
      <c r="H95" s="10" t="n">
        <v>-0.613626</v>
      </c>
      <c r="I95" s="11" t="n">
        <v>4.3</v>
      </c>
      <c r="J95" s="12">
        <f>HYPERLINK("https://www.google.com/maps/search/?api=1&amp;query=53.19928,-0.613626", "Open Google Maps")</f>
        <v/>
      </c>
      <c r="K95" s="12">
        <f>HYPERLINK("https://waze.com/ul?ll=53.19928,-0.613626&amp;navigate=yes", "Open Waze")</f>
        <v/>
      </c>
    </row>
    <row r="96" ht="20" customHeight="1">
      <c r="A96" s="3" t="inlineStr">
        <is>
          <t>Liphook, UK</t>
        </is>
      </c>
      <c r="B96" s="4" t="inlineStr">
        <is>
          <t>OPEN</t>
        </is>
      </c>
      <c r="C96" s="5" t="n">
        <v>8</v>
      </c>
      <c r="D96" s="3" t="inlineStr">
        <is>
          <t>Old Thorns Hotel, Longmoor Road</t>
        </is>
      </c>
      <c r="E96" s="3" t="inlineStr">
        <is>
          <t>Griggs Green</t>
        </is>
      </c>
      <c r="F96" s="4" t="inlineStr">
        <is>
          <t>GU30 7XD</t>
        </is>
      </c>
      <c r="G96" s="5" t="n">
        <v>51.076448</v>
      </c>
      <c r="H96" s="5" t="n">
        <v>-0.831521</v>
      </c>
      <c r="I96" s="6" t="n">
        <v>4.4</v>
      </c>
      <c r="J96" s="7">
        <f>HYPERLINK("https://www.google.com/maps/search/?api=1&amp;query=51.076448,-0.831521", "Open Google Maps")</f>
        <v/>
      </c>
      <c r="K96" s="7">
        <f>HYPERLINK("https://waze.com/ul?ll=51.076448,-0.831521&amp;navigate=yes", "Open Waze")</f>
        <v/>
      </c>
    </row>
    <row r="97" ht="20" customHeight="1">
      <c r="A97" s="8" t="inlineStr">
        <is>
          <t>London Gateway, UK</t>
        </is>
      </c>
      <c r="B97" s="9" t="inlineStr">
        <is>
          <t>OPEN</t>
        </is>
      </c>
      <c r="C97" s="10" t="n">
        <v>12</v>
      </c>
      <c r="D97" s="8" t="inlineStr">
        <is>
          <t>Welcome Break London Gateway Services M1, Jct 2/4, Mill Hill</t>
        </is>
      </c>
      <c r="E97" s="8" t="inlineStr">
        <is>
          <t>London</t>
        </is>
      </c>
      <c r="F97" s="9" t="inlineStr">
        <is>
          <t>NW7 3HU</t>
        </is>
      </c>
      <c r="G97" s="10" t="n">
        <v>51.63023</v>
      </c>
      <c r="H97" s="10" t="n">
        <v>-0.264059</v>
      </c>
      <c r="I97" s="11" t="n">
        <v>4.3</v>
      </c>
      <c r="J97" s="12">
        <f>HYPERLINK("https://www.google.com/maps/search/?api=1&amp;query=51.63023,-0.264059", "Open Google Maps")</f>
        <v/>
      </c>
      <c r="K97" s="12">
        <f>HYPERLINK("https://waze.com/ul?ll=51.63023,-0.264059&amp;navigate=yes", "Open Waze")</f>
        <v/>
      </c>
    </row>
    <row r="98" ht="20" customHeight="1">
      <c r="A98" s="3" t="inlineStr">
        <is>
          <t>London, UK - Brent Cross</t>
        </is>
      </c>
      <c r="B98" s="4" t="inlineStr">
        <is>
          <t>OPEN</t>
        </is>
      </c>
      <c r="C98" s="5" t="n">
        <v>2</v>
      </c>
      <c r="D98" s="3" t="inlineStr">
        <is>
          <t>Brent Cross, Prince Charles Drive</t>
        </is>
      </c>
      <c r="E98" s="3" t="inlineStr">
        <is>
          <t>London</t>
        </is>
      </c>
      <c r="F98" s="4" t="inlineStr">
        <is>
          <t>NW4 3FP</t>
        </is>
      </c>
      <c r="G98" s="5" t="n">
        <v>51.57753</v>
      </c>
      <c r="H98" s="5" t="n">
        <v>-0.223753</v>
      </c>
      <c r="I98" s="6" t="n">
        <v>4.5</v>
      </c>
      <c r="J98" s="7">
        <f>HYPERLINK("https://www.google.com/maps/search/?api=1&amp;query=51.57753,-0.223753", "Open Google Maps")</f>
        <v/>
      </c>
      <c r="K98" s="7">
        <f>HYPERLINK("https://waze.com/ul?ll=51.57753,-0.223753&amp;navigate=yes", "Open Waze")</f>
        <v/>
      </c>
    </row>
    <row r="99" ht="20" customHeight="1">
      <c r="A99" s="8" t="inlineStr">
        <is>
          <t>London, UK - Bromley</t>
        </is>
      </c>
      <c r="B99" s="9" t="inlineStr">
        <is>
          <t>OPEN</t>
        </is>
      </c>
      <c r="C99" s="10" t="n">
        <v>12</v>
      </c>
      <c r="D99" s="8" t="inlineStr">
        <is>
          <t>Bromley Civic Centre, Stockwell Close</t>
        </is>
      </c>
      <c r="E99" s="8" t="inlineStr">
        <is>
          <t>Bromley</t>
        </is>
      </c>
      <c r="F99" s="9" t="inlineStr">
        <is>
          <t>BR1 3UH</t>
        </is>
      </c>
      <c r="G99" s="10" t="n">
        <v>51.40423</v>
      </c>
      <c r="H99" s="10" t="n">
        <v>0.019505</v>
      </c>
      <c r="I99" s="11" t="n">
        <v>4.7</v>
      </c>
      <c r="J99" s="12">
        <f>HYPERLINK("https://www.google.com/maps/search/?api=1&amp;query=51.40423,0.019505", "Open Google Maps")</f>
        <v/>
      </c>
      <c r="K99" s="12">
        <f>HYPERLINK("https://waze.com/ul?ll=51.40423,0.019505&amp;navigate=yes", "Open Waze")</f>
        <v/>
      </c>
    </row>
    <row r="100" ht="20" customHeight="1">
      <c r="A100" s="3" t="inlineStr">
        <is>
          <t>London, UK - Canary Wharf</t>
        </is>
      </c>
      <c r="B100" s="4" t="inlineStr">
        <is>
          <t>OPEN</t>
        </is>
      </c>
      <c r="C100" s="5" t="n">
        <v>12</v>
      </c>
      <c r="D100" s="3" t="inlineStr">
        <is>
          <t>The Canada Square Car Park, Montgomery Street</t>
        </is>
      </c>
      <c r="E100" s="3" t="inlineStr">
        <is>
          <t>London</t>
        </is>
      </c>
      <c r="F100" s="4" t="inlineStr">
        <is>
          <t>E14 5EW</t>
        </is>
      </c>
      <c r="G100" s="5" t="n">
        <v>51.504456</v>
      </c>
      <c r="H100" s="5" t="n">
        <v>-0.015812</v>
      </c>
      <c r="I100" s="6" t="n">
        <v>4.6</v>
      </c>
      <c r="J100" s="7">
        <f>HYPERLINK("https://www.google.com/maps/search/?api=1&amp;query=51.504456,-0.015812", "Open Google Maps")</f>
        <v/>
      </c>
      <c r="K100" s="7">
        <f>HYPERLINK("https://waze.com/ul?ll=51.504456,-0.015812&amp;navigate=yes", "Open Waze")</f>
        <v/>
      </c>
    </row>
    <row r="101" ht="20" customHeight="1">
      <c r="A101" s="8" t="inlineStr">
        <is>
          <t>London, UK - Croydon</t>
        </is>
      </c>
      <c r="B101" s="9" t="inlineStr">
        <is>
          <t>OPEN</t>
        </is>
      </c>
      <c r="C101" s="10" t="n">
        <v>8</v>
      </c>
      <c r="D101" s="8" t="inlineStr">
        <is>
          <t>Airport House, Purley Way, Croydon</t>
        </is>
      </c>
      <c r="E101" s="8" t="inlineStr">
        <is>
          <t>Croydon</t>
        </is>
      </c>
      <c r="F101" s="9" t="inlineStr">
        <is>
          <t>CR0 0XZ</t>
        </is>
      </c>
      <c r="G101" s="10" t="n">
        <v>51.3566659</v>
      </c>
      <c r="H101" s="10" t="n">
        <v>-0.1168213</v>
      </c>
      <c r="I101" s="11" t="n">
        <v>4.6</v>
      </c>
      <c r="J101" s="12">
        <f>HYPERLINK("https://www.google.com/maps/search/?api=1&amp;query=51.3566659,-0.1168213", "Open Google Maps")</f>
        <v/>
      </c>
      <c r="K101" s="12">
        <f>HYPERLINK("https://waze.com/ul?ll=51.3566659,-0.1168213&amp;navigate=yes", "Open Waze")</f>
        <v/>
      </c>
    </row>
    <row r="102" ht="20" customHeight="1">
      <c r="A102" s="3" t="inlineStr">
        <is>
          <t>London, UK - Gatwick (SC)</t>
        </is>
      </c>
      <c r="B102" s="4" t="inlineStr">
        <is>
          <t>OPEN</t>
        </is>
      </c>
      <c r="C102" s="5" t="n">
        <v>8</v>
      </c>
      <c r="D102" s="3" t="inlineStr">
        <is>
          <t>3 County Oak Way</t>
        </is>
      </c>
      <c r="E102" s="3" t="inlineStr">
        <is>
          <t>Crawley</t>
        </is>
      </c>
      <c r="F102" s="4" t="inlineStr">
        <is>
          <t>RH11 7ST</t>
        </is>
      </c>
      <c r="G102" s="5" t="n">
        <v>51.135183</v>
      </c>
      <c r="H102" s="5" t="n">
        <v>-0.191314</v>
      </c>
      <c r="I102" s="6" t="n">
        <v>4.6</v>
      </c>
      <c r="J102" s="7">
        <f>HYPERLINK("https://www.google.com/maps/search/?api=1&amp;query=51.135183,-0.191314", "Open Google Maps")</f>
        <v/>
      </c>
      <c r="K102" s="7">
        <f>HYPERLINK("https://waze.com/ul?ll=51.135183,-0.191314&amp;navigate=yes", "Open Waze")</f>
        <v/>
      </c>
    </row>
    <row r="103" ht="20" customHeight="1">
      <c r="A103" s="8" t="inlineStr">
        <is>
          <t>London, UK - North Greenwich</t>
        </is>
      </c>
      <c r="B103" s="9" t="inlineStr">
        <is>
          <t>OPEN</t>
        </is>
      </c>
      <c r="C103" s="10" t="n">
        <v>12</v>
      </c>
      <c r="D103" s="8" t="inlineStr">
        <is>
          <t>Waterview Dr, Greenwich Peninsula</t>
        </is>
      </c>
      <c r="E103" s="8" t="inlineStr">
        <is>
          <t>London</t>
        </is>
      </c>
      <c r="F103" s="9" t="inlineStr">
        <is>
          <t>SE10 0TW</t>
        </is>
      </c>
      <c r="G103" s="10" t="n">
        <v>51.5023724</v>
      </c>
      <c r="H103" s="10" t="n">
        <v>-0.0018343</v>
      </c>
      <c r="I103" s="11" t="n">
        <v>4.5</v>
      </c>
      <c r="J103" s="12">
        <f>HYPERLINK("https://www.google.com/maps/search/?api=1&amp;query=51.5023724,-0.0018343", "Open Google Maps")</f>
        <v/>
      </c>
      <c r="K103" s="12">
        <f>HYPERLINK("https://waze.com/ul?ll=51.5023724,-0.0018343&amp;navigate=yes", "Open Waze")</f>
        <v/>
      </c>
    </row>
    <row r="104" ht="20" customHeight="1">
      <c r="A104" s="3" t="inlineStr">
        <is>
          <t>London, UK - Park Royal (SC)</t>
        </is>
      </c>
      <c r="B104" s="4" t="inlineStr">
        <is>
          <t>OPEN</t>
        </is>
      </c>
      <c r="C104" s="5" t="n">
        <v>16</v>
      </c>
      <c r="D104" s="3" t="inlineStr">
        <is>
          <t>152 Dukes Road</t>
        </is>
      </c>
      <c r="E104" s="3" t="inlineStr">
        <is>
          <t>London</t>
        </is>
      </c>
      <c r="F104" s="4" t="inlineStr">
        <is>
          <t>W3 0SL</t>
        </is>
      </c>
      <c r="G104" s="5" t="n">
        <v>51.526799</v>
      </c>
      <c r="H104" s="5" t="n">
        <v>-0.283445</v>
      </c>
      <c r="I104" s="6" t="n">
        <v>4.6</v>
      </c>
      <c r="J104" s="7">
        <f>HYPERLINK("https://www.google.com/maps/search/?api=1&amp;query=51.526799,-0.283445", "Open Google Maps")</f>
        <v/>
      </c>
      <c r="K104" s="7">
        <f>HYPERLINK("https://waze.com/ul?ll=51.526799,-0.283445&amp;navigate=yes", "Open Waze")</f>
        <v/>
      </c>
    </row>
    <row r="105" ht="20" customHeight="1">
      <c r="A105" s="8" t="inlineStr">
        <is>
          <t>London, UK - Romford</t>
        </is>
      </c>
      <c r="B105" s="9" t="inlineStr">
        <is>
          <t>OPEN</t>
        </is>
      </c>
      <c r="C105" s="10" t="n">
        <v>12</v>
      </c>
      <c r="D105" s="8" t="inlineStr">
        <is>
          <t>The Liberty Shopping Centre, Western Road</t>
        </is>
      </c>
      <c r="E105" s="8" t="inlineStr">
        <is>
          <t>Romford</t>
        </is>
      </c>
      <c r="F105" s="9" t="inlineStr">
        <is>
          <t>RM1 3JT</t>
        </is>
      </c>
      <c r="G105" s="10" t="n">
        <v>51.57799</v>
      </c>
      <c r="H105" s="10" t="n">
        <v>0.18502</v>
      </c>
      <c r="I105" s="11" t="n">
        <v>4.7</v>
      </c>
      <c r="J105" s="12">
        <f>HYPERLINK("https://www.google.com/maps/search/?api=1&amp;query=51.57799,0.18502", "Open Google Maps")</f>
        <v/>
      </c>
      <c r="K105" s="12">
        <f>HYPERLINK("https://waze.com/ul?ll=51.57799,0.18502&amp;navigate=yes", "Open Waze")</f>
        <v/>
      </c>
    </row>
    <row r="106" ht="20" customHeight="1">
      <c r="A106" s="3" t="inlineStr">
        <is>
          <t>London, UK - Sidcup</t>
        </is>
      </c>
      <c r="B106" s="4" t="inlineStr">
        <is>
          <t>OPEN</t>
        </is>
      </c>
      <c r="C106" s="5" t="n">
        <v>15</v>
      </c>
      <c r="D106" s="3" t="inlineStr">
        <is>
          <t>Ruxley Manor Garden Centre, Maidstone Rd</t>
        </is>
      </c>
      <c r="E106" s="3" t="inlineStr">
        <is>
          <t>Orpington</t>
        </is>
      </c>
      <c r="F106" s="4" t="inlineStr">
        <is>
          <t>DA14 5BQ</t>
        </is>
      </c>
      <c r="G106" s="5" t="n">
        <v>51.4128</v>
      </c>
      <c r="H106" s="5" t="n">
        <v>0.1343</v>
      </c>
      <c r="I106" s="6" t="n">
        <v>4.5</v>
      </c>
      <c r="J106" s="7">
        <f>HYPERLINK("https://www.google.com/maps/search/?api=1&amp;query=51.4128,0.1343", "Open Google Maps")</f>
        <v/>
      </c>
      <c r="K106" s="7">
        <f>HYPERLINK("https://waze.com/ul?ll=51.4128,0.1343&amp;navigate=yes", "Open Waze")</f>
        <v/>
      </c>
    </row>
    <row r="107" ht="20" customHeight="1">
      <c r="A107" s="8" t="inlineStr">
        <is>
          <t>London, UK - Tottenham (SC)</t>
        </is>
      </c>
      <c r="B107" s="9" t="inlineStr">
        <is>
          <t>OPEN</t>
        </is>
      </c>
      <c r="C107" s="10" t="n">
        <v>12</v>
      </c>
      <c r="D107" s="8" t="inlineStr">
        <is>
          <t>Ravenside retail park, Edmonton</t>
        </is>
      </c>
      <c r="E107" s="8" t="inlineStr">
        <is>
          <t>London</t>
        </is>
      </c>
      <c r="F107" s="9" t="inlineStr">
        <is>
          <t>N18 3HA</t>
        </is>
      </c>
      <c r="G107" s="10" t="n">
        <v>51.61135595469978</v>
      </c>
      <c r="H107" s="10" t="n">
        <v>-0.0431683199</v>
      </c>
      <c r="I107" s="11" t="n">
        <v>4.3</v>
      </c>
      <c r="J107" s="12">
        <f>HYPERLINK("https://www.google.com/maps/search/?api=1&amp;query=51.61135595469978,-0.0431683199", "Open Google Maps")</f>
        <v/>
      </c>
      <c r="K107" s="12">
        <f>HYPERLINK("https://waze.com/ul?ll=51.61135595469978,-0.0431683199&amp;navigate=yes", "Open Waze")</f>
        <v/>
      </c>
    </row>
    <row r="108" ht="20" customHeight="1">
      <c r="A108" s="3" t="inlineStr">
        <is>
          <t>London, UK - Waddon</t>
        </is>
      </c>
      <c r="B108" s="4" t="inlineStr">
        <is>
          <t>OPEN</t>
        </is>
      </c>
      <c r="C108" s="5" t="n">
        <v>20</v>
      </c>
      <c r="D108" s="3" t="inlineStr">
        <is>
          <t>325 Purley Way</t>
        </is>
      </c>
      <c r="E108" s="3" t="inlineStr">
        <is>
          <t>Waddon</t>
        </is>
      </c>
      <c r="F108" s="4" t="n"/>
      <c r="G108" s="5" t="n">
        <v>51.371687</v>
      </c>
      <c r="H108" s="5" t="n">
        <v>-0.116853</v>
      </c>
      <c r="I108" s="6" t="n">
        <v>4.6</v>
      </c>
      <c r="J108" s="7">
        <f>HYPERLINK("https://www.google.com/maps/search/?api=1&amp;query=51.371687,-0.116853", "Open Google Maps")</f>
        <v/>
      </c>
      <c r="K108" s="7">
        <f>HYPERLINK("https://waze.com/ul?ll=51.371687,-0.116853&amp;navigate=yes", "Open Waze")</f>
        <v/>
      </c>
    </row>
    <row r="109" ht="20" customHeight="1">
      <c r="A109" s="8" t="inlineStr">
        <is>
          <t>London, UK - West Drayton (SC)</t>
        </is>
      </c>
      <c r="B109" s="9" t="inlineStr">
        <is>
          <t>OPEN</t>
        </is>
      </c>
      <c r="C109" s="10" t="n">
        <v>5</v>
      </c>
      <c r="D109" s="8" t="inlineStr">
        <is>
          <t>197 Horton Road</t>
        </is>
      </c>
      <c r="E109" s="8" t="inlineStr">
        <is>
          <t>London</t>
        </is>
      </c>
      <c r="F109" s="9" t="inlineStr">
        <is>
          <t>UB7 8HZ</t>
        </is>
      </c>
      <c r="G109" s="10" t="n">
        <v>51.510949</v>
      </c>
      <c r="H109" s="10" t="n">
        <v>-0.460458</v>
      </c>
      <c r="I109" s="11" t="n">
        <v>4.5</v>
      </c>
      <c r="J109" s="12">
        <f>HYPERLINK("https://www.google.com/maps/search/?api=1&amp;query=51.510949,-0.460458", "Open Google Maps")</f>
        <v/>
      </c>
      <c r="K109" s="12">
        <f>HYPERLINK("https://waze.com/ul?ll=51.510949,-0.460458&amp;navigate=yes", "Open Waze")</f>
        <v/>
      </c>
    </row>
    <row r="110" ht="20" customHeight="1">
      <c r="A110" s="3" t="inlineStr">
        <is>
          <t>London, UK - Westfield White City</t>
        </is>
      </c>
      <c r="B110" s="4" t="inlineStr">
        <is>
          <t>OPEN</t>
        </is>
      </c>
      <c r="C110" s="5" t="n">
        <v>24</v>
      </c>
      <c r="D110" s="3" t="inlineStr">
        <is>
          <t>Westfield Shopping Town</t>
        </is>
      </c>
      <c r="E110" s="3" t="inlineStr">
        <is>
          <t>London</t>
        </is>
      </c>
      <c r="F110" s="4" t="inlineStr">
        <is>
          <t>W12 7GD</t>
        </is>
      </c>
      <c r="G110" s="5" t="n">
        <v>51.507888</v>
      </c>
      <c r="H110" s="5" t="n">
        <v>-0.221972</v>
      </c>
      <c r="I110" s="6" t="n">
        <v>4.5</v>
      </c>
      <c r="J110" s="7">
        <f>HYPERLINK("https://www.google.com/maps/search/?api=1&amp;query=51.507888,-0.221972", "Open Google Maps")</f>
        <v/>
      </c>
      <c r="K110" s="7">
        <f>HYPERLINK("https://waze.com/ul?ll=51.507888,-0.221972&amp;navigate=yes", "Open Waze")</f>
        <v/>
      </c>
    </row>
    <row r="111" ht="20" customHeight="1">
      <c r="A111" s="8" t="inlineStr">
        <is>
          <t>Luton, UK</t>
        </is>
      </c>
      <c r="B111" s="9" t="inlineStr">
        <is>
          <t>OPEN</t>
        </is>
      </c>
      <c r="C111" s="10" t="n">
        <v>16</v>
      </c>
      <c r="D111" s="8" t="inlineStr">
        <is>
          <t>Luton Retail Park, Gypsy Lane</t>
        </is>
      </c>
      <c r="E111" s="8" t="inlineStr">
        <is>
          <t>Luton</t>
        </is>
      </c>
      <c r="F111" s="9" t="inlineStr">
        <is>
          <t>LU1 3JH</t>
        </is>
      </c>
      <c r="G111" s="10" t="n">
        <v>51.8719</v>
      </c>
      <c r="H111" s="10" t="n">
        <v>-0.3973</v>
      </c>
      <c r="I111" s="11" t="n">
        <v>4.5</v>
      </c>
      <c r="J111" s="12">
        <f>HYPERLINK("https://www.google.com/maps/search/?api=1&amp;query=51.8719,-0.3973", "Open Google Maps")</f>
        <v/>
      </c>
      <c r="K111" s="12">
        <f>HYPERLINK("https://waze.com/ul?ll=51.8719,-0.3973&amp;navigate=yes", "Open Waze")</f>
        <v/>
      </c>
    </row>
    <row r="112" ht="20" customHeight="1">
      <c r="A112" s="3" t="inlineStr">
        <is>
          <t>Lymm, UK</t>
        </is>
      </c>
      <c r="B112" s="4" t="inlineStr">
        <is>
          <t>OPEN</t>
        </is>
      </c>
      <c r="C112" s="5" t="n">
        <v>24</v>
      </c>
      <c r="D112" s="3" t="inlineStr">
        <is>
          <t>Warrington Lymm Services, Cliff Lane</t>
        </is>
      </c>
      <c r="E112" s="3" t="inlineStr">
        <is>
          <t>Lymm</t>
        </is>
      </c>
      <c r="F112" s="4" t="inlineStr">
        <is>
          <t>WA13 0SP</t>
        </is>
      </c>
      <c r="G112" s="5" t="n">
        <v>53.358899</v>
      </c>
      <c r="H112" s="5" t="n">
        <v>-2.506377</v>
      </c>
      <c r="I112" s="6" t="n">
        <v>4.6</v>
      </c>
      <c r="J112" s="7">
        <f>HYPERLINK("https://www.google.com/maps/search/?api=1&amp;query=53.358899,-2.506377", "Open Google Maps")</f>
        <v/>
      </c>
      <c r="K112" s="7">
        <f>HYPERLINK("https://waze.com/ul?ll=53.358899,-2.506377&amp;navigate=yes", "Open Waze")</f>
        <v/>
      </c>
    </row>
    <row r="113" ht="20" customHeight="1">
      <c r="A113" s="8" t="inlineStr">
        <is>
          <t>Maidstone, UK</t>
        </is>
      </c>
      <c r="B113" s="9" t="inlineStr">
        <is>
          <t>OPEN</t>
        </is>
      </c>
      <c r="C113" s="10" t="n">
        <v>6</v>
      </c>
      <c r="D113" s="8" t="inlineStr">
        <is>
          <t>Eclipse Park, Bearsted Rd</t>
        </is>
      </c>
      <c r="E113" s="8" t="inlineStr">
        <is>
          <t>Maidstone</t>
        </is>
      </c>
      <c r="F113" s="9" t="inlineStr">
        <is>
          <t>ME14 3EN</t>
        </is>
      </c>
      <c r="G113" s="10" t="n">
        <v>51.286224</v>
      </c>
      <c r="H113" s="10" t="n">
        <v>0.545783</v>
      </c>
      <c r="I113" s="11" t="n">
        <v>4.7</v>
      </c>
      <c r="J113" s="12">
        <f>HYPERLINK("https://www.google.com/maps/search/?api=1&amp;query=51.286224,0.545783", "Open Google Maps")</f>
        <v/>
      </c>
      <c r="K113" s="12">
        <f>HYPERLINK("https://waze.com/ul?ll=51.286224,0.545783&amp;navigate=yes", "Open Waze")</f>
        <v/>
      </c>
    </row>
    <row r="114" ht="20" customHeight="1">
      <c r="A114" s="3" t="inlineStr">
        <is>
          <t>Manchester, UK</t>
        </is>
      </c>
      <c r="B114" s="4" t="inlineStr">
        <is>
          <t>OPEN</t>
        </is>
      </c>
      <c r="C114" s="5" t="n">
        <v>14</v>
      </c>
      <c r="D114" s="3" t="inlineStr">
        <is>
          <t>White City Retail Park, 1A Chester Road</t>
        </is>
      </c>
      <c r="E114" s="3" t="inlineStr">
        <is>
          <t>Manchester</t>
        </is>
      </c>
      <c r="F114" s="4" t="inlineStr">
        <is>
          <t>M16 0RP</t>
        </is>
      </c>
      <c r="G114" s="5" t="n">
        <v>53.461748</v>
      </c>
      <c r="H114" s="5" t="n">
        <v>-2.285821</v>
      </c>
      <c r="I114" s="6" t="n">
        <v>4.5</v>
      </c>
      <c r="J114" s="7">
        <f>HYPERLINK("https://www.google.com/maps/search/?api=1&amp;query=53.461748,-2.285821", "Open Google Maps")</f>
        <v/>
      </c>
      <c r="K114" s="7">
        <f>HYPERLINK("https://waze.com/ul?ll=53.461748,-2.285821&amp;navigate=yes", "Open Waze")</f>
        <v/>
      </c>
    </row>
    <row r="115" ht="20" customHeight="1">
      <c r="A115" s="8" t="inlineStr">
        <is>
          <t>Manchester, UK - Ashton New Road (SC)</t>
        </is>
      </c>
      <c r="B115" s="9" t="inlineStr">
        <is>
          <t>OPEN</t>
        </is>
      </c>
      <c r="C115" s="10" t="n">
        <v>12</v>
      </c>
      <c r="D115" s="8" t="inlineStr">
        <is>
          <t>Rowsley Street</t>
        </is>
      </c>
      <c r="E115" s="8" t="inlineStr">
        <is>
          <t>Manchester</t>
        </is>
      </c>
      <c r="F115" s="9" t="inlineStr">
        <is>
          <t>M11 3RR</t>
        </is>
      </c>
      <c r="G115" s="10" t="n">
        <v>53.482036</v>
      </c>
      <c r="H115" s="10" t="n">
        <v>-2.203848</v>
      </c>
      <c r="I115" s="11" t="n">
        <v>4.6</v>
      </c>
      <c r="J115" s="12">
        <f>HYPERLINK("https://www.google.com/maps/search/?api=1&amp;query=53.482036,-2.203848", "Open Google Maps")</f>
        <v/>
      </c>
      <c r="K115" s="12">
        <f>HYPERLINK("https://waze.com/ul?ll=53.482036,-2.203848&amp;navigate=yes", "Open Waze")</f>
        <v/>
      </c>
    </row>
    <row r="116" ht="20" customHeight="1">
      <c r="A116" s="3" t="inlineStr">
        <is>
          <t>Manchester, UK - South (SC)</t>
        </is>
      </c>
      <c r="B116" s="4" t="inlineStr">
        <is>
          <t>OPEN</t>
        </is>
      </c>
      <c r="C116" s="5" t="n">
        <v>8</v>
      </c>
      <c r="D116" s="3" t="inlineStr">
        <is>
          <t>396 Wellington Rd N, by Tesla store</t>
        </is>
      </c>
      <c r="E116" s="3" t="inlineStr">
        <is>
          <t>Stockport</t>
        </is>
      </c>
      <c r="F116" s="4" t="inlineStr">
        <is>
          <t>SK4 5AD</t>
        </is>
      </c>
      <c r="G116" s="5" t="n">
        <v>53.430295</v>
      </c>
      <c r="H116" s="5" t="n">
        <v>-2.179375</v>
      </c>
      <c r="I116" s="6" t="n">
        <v>4.4</v>
      </c>
      <c r="J116" s="7">
        <f>HYPERLINK("https://www.google.com/maps/search/?api=1&amp;query=53.430295,-2.179375", "Open Google Maps")</f>
        <v/>
      </c>
      <c r="K116" s="7">
        <f>HYPERLINK("https://waze.com/ul?ll=53.430295,-2.179375&amp;navigate=yes", "Open Waze")</f>
        <v/>
      </c>
    </row>
    <row r="117" ht="20" customHeight="1">
      <c r="A117" s="8" t="inlineStr">
        <is>
          <t>Mansfield, UK - East Midlands Designer Outlet</t>
        </is>
      </c>
      <c r="B117" s="9" t="inlineStr">
        <is>
          <t>OPEN</t>
        </is>
      </c>
      <c r="C117" s="10" t="n">
        <v>12</v>
      </c>
      <c r="D117" s="8" t="inlineStr">
        <is>
          <t>Mansfield Road</t>
        </is>
      </c>
      <c r="E117" s="8" t="inlineStr">
        <is>
          <t>Alfreton</t>
        </is>
      </c>
      <c r="F117" s="9" t="inlineStr">
        <is>
          <t>DE55 2JW</t>
        </is>
      </c>
      <c r="G117" s="10" t="n">
        <v>53.10912</v>
      </c>
      <c r="H117" s="10" t="n">
        <v>-1.31227</v>
      </c>
      <c r="I117" s="11" t="n">
        <v>4.5</v>
      </c>
      <c r="J117" s="12">
        <f>HYPERLINK("https://www.google.com/maps/search/?api=1&amp;query=53.10912,-1.31227", "Open Google Maps")</f>
        <v/>
      </c>
      <c r="K117" s="12">
        <f>HYPERLINK("https://waze.com/ul?ll=53.10912,-1.31227&amp;navigate=yes", "Open Waze")</f>
        <v/>
      </c>
    </row>
    <row r="118" ht="20" customHeight="1">
      <c r="A118" s="3" t="inlineStr">
        <is>
          <t>Medway, UK - Eastbound</t>
        </is>
      </c>
      <c r="B118" s="4" t="inlineStr">
        <is>
          <t>OPEN</t>
        </is>
      </c>
      <c r="C118" s="5" t="n">
        <v>12</v>
      </c>
      <c r="D118" s="3" t="inlineStr">
        <is>
          <t>Medway Services Eastbound, M2</t>
        </is>
      </c>
      <c r="E118" s="3" t="inlineStr">
        <is>
          <t>Rainham</t>
        </is>
      </c>
      <c r="F118" s="4" t="inlineStr">
        <is>
          <t>ME8 8PQ</t>
        </is>
      </c>
      <c r="G118" s="5" t="n">
        <v>51.341829</v>
      </c>
      <c r="H118" s="5" t="n">
        <v>0.606748</v>
      </c>
      <c r="I118" s="6" t="n">
        <v>4.4</v>
      </c>
      <c r="J118" s="7">
        <f>HYPERLINK("https://www.google.com/maps/search/?api=1&amp;query=51.341829,0.606748", "Open Google Maps")</f>
        <v/>
      </c>
      <c r="K118" s="7">
        <f>HYPERLINK("https://waze.com/ul?ll=51.341829,0.606748&amp;navigate=yes", "Open Waze")</f>
        <v/>
      </c>
    </row>
    <row r="119" ht="20" customHeight="1">
      <c r="A119" s="8" t="inlineStr">
        <is>
          <t>Medway, UK - Westbound</t>
        </is>
      </c>
      <c r="B119" s="9" t="inlineStr">
        <is>
          <t>OPEN</t>
        </is>
      </c>
      <c r="C119" s="10" t="n">
        <v>12</v>
      </c>
      <c r="D119" s="8" t="inlineStr">
        <is>
          <t>Medway Services Westbound, M2</t>
        </is>
      </c>
      <c r="E119" s="8" t="inlineStr">
        <is>
          <t>Rainham</t>
        </is>
      </c>
      <c r="F119" s="9" t="inlineStr">
        <is>
          <t>ME8 8PQ</t>
        </is>
      </c>
      <c r="G119" s="10" t="n">
        <v>51.3406</v>
      </c>
      <c r="H119" s="10" t="n">
        <v>0.6086</v>
      </c>
      <c r="I119" s="11" t="n">
        <v>4.7</v>
      </c>
      <c r="J119" s="12">
        <f>HYPERLINK("https://www.google.com/maps/search/?api=1&amp;query=51.3406,0.6086", "Open Google Maps")</f>
        <v/>
      </c>
      <c r="K119" s="12">
        <f>HYPERLINK("https://waze.com/ul?ll=51.3406,0.6086&amp;navigate=yes", "Open Waze")</f>
        <v/>
      </c>
    </row>
    <row r="120" ht="20" customHeight="1">
      <c r="A120" s="3" t="inlineStr">
        <is>
          <t>Membury, UK - Eastbound</t>
        </is>
      </c>
      <c r="B120" s="4" t="inlineStr">
        <is>
          <t>OPEN</t>
        </is>
      </c>
      <c r="C120" s="5" t="n">
        <v>6</v>
      </c>
      <c r="D120" s="3" t="inlineStr">
        <is>
          <t>Membury Services Eastbound, M4</t>
        </is>
      </c>
      <c r="E120" s="3" t="inlineStr">
        <is>
          <t>Hungerford</t>
        </is>
      </c>
      <c r="F120" s="4" t="inlineStr">
        <is>
          <t>RG17 7TY</t>
        </is>
      </c>
      <c r="G120" s="5" t="n">
        <v>51.4839</v>
      </c>
      <c r="H120" s="5" t="n">
        <v>-1.5568</v>
      </c>
      <c r="I120" s="6" t="n">
        <v>4.7</v>
      </c>
      <c r="J120" s="7">
        <f>HYPERLINK("https://www.google.com/maps/search/?api=1&amp;query=51.4839,-1.5568", "Open Google Maps")</f>
        <v/>
      </c>
      <c r="K120" s="7">
        <f>HYPERLINK("https://waze.com/ul?ll=51.4839,-1.5568&amp;navigate=yes", "Open Waze")</f>
        <v/>
      </c>
    </row>
    <row r="121" ht="20" customHeight="1">
      <c r="A121" s="8" t="inlineStr">
        <is>
          <t>Membury, UK - Westbound</t>
        </is>
      </c>
      <c r="B121" s="9" t="inlineStr">
        <is>
          <t>OPEN</t>
        </is>
      </c>
      <c r="C121" s="10" t="n">
        <v>8</v>
      </c>
      <c r="D121" s="8" t="inlineStr">
        <is>
          <t>Welcome Break Membury, Westbound M4</t>
        </is>
      </c>
      <c r="E121" s="8" t="inlineStr">
        <is>
          <t>Hungerford</t>
        </is>
      </c>
      <c r="F121" s="9" t="inlineStr">
        <is>
          <t>RG17 7TY</t>
        </is>
      </c>
      <c r="G121" s="10" t="n">
        <v>51.4813</v>
      </c>
      <c r="H121" s="10" t="n">
        <v>-1.5561</v>
      </c>
      <c r="I121" s="11" t="n">
        <v>4.5</v>
      </c>
      <c r="J121" s="12">
        <f>HYPERLINK("https://www.google.com/maps/search/?api=1&amp;query=51.4813,-1.5561", "Open Google Maps")</f>
        <v/>
      </c>
      <c r="K121" s="12">
        <f>HYPERLINK("https://waze.com/ul?ll=51.4813,-1.5561&amp;navigate=yes", "Open Waze")</f>
        <v/>
      </c>
    </row>
    <row r="122" ht="20" customHeight="1">
      <c r="A122" s="3" t="inlineStr">
        <is>
          <t>Merry Hill, UK</t>
        </is>
      </c>
      <c r="B122" s="4" t="inlineStr">
        <is>
          <t>OPEN</t>
        </is>
      </c>
      <c r="C122" s="5" t="n">
        <v>14</v>
      </c>
      <c r="D122" s="3" t="inlineStr">
        <is>
          <t>Merry Hill Shopping Centre, Pedmore Rd, Brierley Hill</t>
        </is>
      </c>
      <c r="E122" s="3" t="inlineStr">
        <is>
          <t>Birmingham</t>
        </is>
      </c>
      <c r="F122" s="4" t="inlineStr">
        <is>
          <t>DY5 1QX</t>
        </is>
      </c>
      <c r="G122" s="5" t="n">
        <v>52.483377</v>
      </c>
      <c r="H122" s="5" t="n">
        <v>-2.113597</v>
      </c>
      <c r="I122" s="6" t="n">
        <v>4.7</v>
      </c>
      <c r="J122" s="7">
        <f>HYPERLINK("https://www.google.com/maps/search/?api=1&amp;query=52.483377,-2.113597", "Open Google Maps")</f>
        <v/>
      </c>
      <c r="K122" s="7">
        <f>HYPERLINK("https://waze.com/ul?ll=52.483377,-2.113597&amp;navigate=yes", "Open Waze")</f>
        <v/>
      </c>
    </row>
    <row r="123" ht="20" customHeight="1">
      <c r="A123" s="8" t="inlineStr">
        <is>
          <t>Michaelwood, UK - Northbound</t>
        </is>
      </c>
      <c r="B123" s="9" t="inlineStr">
        <is>
          <t>OPEN</t>
        </is>
      </c>
      <c r="C123" s="10" t="n">
        <v>20</v>
      </c>
      <c r="D123" s="8" t="inlineStr">
        <is>
          <t>Michaelwood Services, M5 Junction 13/14</t>
        </is>
      </c>
      <c r="E123" s="8" t="inlineStr">
        <is>
          <t>Dursley</t>
        </is>
      </c>
      <c r="F123" s="9" t="inlineStr">
        <is>
          <t>GL11 6DD</t>
        </is>
      </c>
      <c r="G123" s="10" t="n">
        <v>51.656118</v>
      </c>
      <c r="H123" s="10" t="n">
        <v>-2.43198</v>
      </c>
      <c r="I123" s="11" t="n">
        <v>4.6</v>
      </c>
      <c r="J123" s="12">
        <f>HYPERLINK("https://www.google.com/maps/search/?api=1&amp;query=51.656118,-2.43198", "Open Google Maps")</f>
        <v/>
      </c>
      <c r="K123" s="12">
        <f>HYPERLINK("https://waze.com/ul?ll=51.656118,-2.43198&amp;navigate=yes", "Open Waze")</f>
        <v/>
      </c>
    </row>
    <row r="124" ht="20" customHeight="1">
      <c r="A124" s="3" t="inlineStr">
        <is>
          <t>Michaelwood, UK - Southbound</t>
        </is>
      </c>
      <c r="B124" s="4" t="inlineStr">
        <is>
          <t>OPEN</t>
        </is>
      </c>
      <c r="C124" s="5" t="n">
        <v>20</v>
      </c>
      <c r="D124" s="3" t="inlineStr">
        <is>
          <t>Michaelwood Services, M5 Junction 13/14</t>
        </is>
      </c>
      <c r="E124" s="3" t="inlineStr">
        <is>
          <t>Dursley</t>
        </is>
      </c>
      <c r="F124" s="4" t="inlineStr">
        <is>
          <t>GL11 6DD</t>
        </is>
      </c>
      <c r="G124" s="5" t="n">
        <v>51.657195</v>
      </c>
      <c r="H124" s="5" t="n">
        <v>-2.426898</v>
      </c>
      <c r="I124" s="6" t="n">
        <v>4.5</v>
      </c>
      <c r="J124" s="7">
        <f>HYPERLINK("https://www.google.com/maps/search/?api=1&amp;query=51.657195,-2.426898", "Open Google Maps")</f>
        <v/>
      </c>
      <c r="K124" s="7">
        <f>HYPERLINK("https://waze.com/ul?ll=51.657195,-2.426898&amp;navigate=yes", "Open Waze")</f>
        <v/>
      </c>
    </row>
    <row r="125" ht="20" customHeight="1">
      <c r="A125" s="8" t="inlineStr">
        <is>
          <t>Milton Keynes, UK - Merton Drive (SC)</t>
        </is>
      </c>
      <c r="B125" s="9" t="inlineStr">
        <is>
          <t>OPEN</t>
        </is>
      </c>
      <c r="C125" s="10" t="n">
        <v>12</v>
      </c>
      <c r="D125" s="8" t="inlineStr">
        <is>
          <t>Unit 3 Merton Drive, Redmoor</t>
        </is>
      </c>
      <c r="E125" s="8" t="inlineStr">
        <is>
          <t>Milton Keynes</t>
        </is>
      </c>
      <c r="F125" s="9" t="inlineStr">
        <is>
          <t>MK6 4AG</t>
        </is>
      </c>
      <c r="G125" s="10" t="n">
        <v>52.0138367</v>
      </c>
      <c r="H125" s="10" t="n">
        <v>-0.745584</v>
      </c>
      <c r="I125" s="11" t="n">
        <v>4.5</v>
      </c>
      <c r="J125" s="12">
        <f>HYPERLINK("https://www.google.com/maps/search/?api=1&amp;query=52.0138367,-0.745584", "Open Google Maps")</f>
        <v/>
      </c>
      <c r="K125" s="12">
        <f>HYPERLINK("https://waze.com/ul?ll=52.0138367,-0.745584&amp;navigate=yes", "Open Waze")</f>
        <v/>
      </c>
    </row>
    <row r="126" ht="20" customHeight="1">
      <c r="A126" s="3" t="inlineStr">
        <is>
          <t>Newark, UK</t>
        </is>
      </c>
      <c r="B126" s="4" t="inlineStr">
        <is>
          <t>OPEN</t>
        </is>
      </c>
      <c r="C126" s="5" t="n">
        <v>10</v>
      </c>
      <c r="D126" s="3" t="inlineStr">
        <is>
          <t>Maltings Retail Park, N Gate</t>
        </is>
      </c>
      <c r="E126" s="3" t="inlineStr">
        <is>
          <t>Newark</t>
        </is>
      </c>
      <c r="F126" s="4" t="inlineStr">
        <is>
          <t>NG24 1HD</t>
        </is>
      </c>
      <c r="G126" s="5" t="n">
        <v>53.081235</v>
      </c>
      <c r="H126" s="5" t="n">
        <v>-0.806391</v>
      </c>
      <c r="I126" s="6" t="n">
        <v>4.6</v>
      </c>
      <c r="J126" s="7">
        <f>HYPERLINK("https://www.google.com/maps/search/?api=1&amp;query=53.081235,-0.806391", "Open Google Maps")</f>
        <v/>
      </c>
      <c r="K126" s="7">
        <f>HYPERLINK("https://waze.com/ul?ll=53.081235,-0.806391&amp;navigate=yes", "Open Waze")</f>
        <v/>
      </c>
    </row>
    <row r="127" ht="20" customHeight="1">
      <c r="A127" s="8" t="inlineStr">
        <is>
          <t>Newark, UK - A1 Slip Road</t>
        </is>
      </c>
      <c r="B127" s="9" t="inlineStr">
        <is>
          <t>OPEN</t>
        </is>
      </c>
      <c r="C127" s="10" t="n">
        <v>12</v>
      </c>
      <c r="D127" s="8" t="inlineStr">
        <is>
          <t>Great North Road</t>
        </is>
      </c>
      <c r="E127" s="8" t="inlineStr">
        <is>
          <t>Newark</t>
        </is>
      </c>
      <c r="F127" s="9" t="inlineStr">
        <is>
          <t>NG24 3UG</t>
        </is>
      </c>
      <c r="G127" s="10" t="n">
        <v>53.04817</v>
      </c>
      <c r="H127" s="10" t="n">
        <v>-0.778241</v>
      </c>
      <c r="I127" s="11" t="n">
        <v>4.3</v>
      </c>
      <c r="J127" s="12">
        <f>HYPERLINK("https://www.google.com/maps/search/?api=1&amp;query=53.04817,-0.778241", "Open Google Maps")</f>
        <v/>
      </c>
      <c r="K127" s="12">
        <f>HYPERLINK("https://waze.com/ul?ll=53.04817,-0.778241&amp;navigate=yes", "Open Waze")</f>
        <v/>
      </c>
    </row>
    <row r="128" ht="20" customHeight="1">
      <c r="A128" s="3" t="inlineStr">
        <is>
          <t>Newport Pagnell, UK - Northbound</t>
        </is>
      </c>
      <c r="B128" s="4" t="inlineStr">
        <is>
          <t>OPEN</t>
        </is>
      </c>
      <c r="C128" s="5" t="n">
        <v>12</v>
      </c>
      <c r="D128" s="3" t="inlineStr">
        <is>
          <t>Newport Pagnell Services Northbound, M1</t>
        </is>
      </c>
      <c r="E128" s="3" t="inlineStr">
        <is>
          <t>Newport Pagnell</t>
        </is>
      </c>
      <c r="F128" s="4" t="inlineStr">
        <is>
          <t>MK16 8DS</t>
        </is>
      </c>
      <c r="G128" s="5" t="n">
        <v>52.08255</v>
      </c>
      <c r="H128" s="5" t="n">
        <v>-0.748481</v>
      </c>
      <c r="I128" s="6" t="n">
        <v>4.7</v>
      </c>
      <c r="J128" s="7">
        <f>HYPERLINK("https://www.google.com/maps/search/?api=1&amp;query=52.08255,-0.748481", "Open Google Maps")</f>
        <v/>
      </c>
      <c r="K128" s="7">
        <f>HYPERLINK("https://waze.com/ul?ll=52.08255,-0.748481&amp;navigate=yes", "Open Waze")</f>
        <v/>
      </c>
    </row>
    <row r="129" ht="20" customHeight="1">
      <c r="A129" s="8" t="inlineStr">
        <is>
          <t>Newport Pagnell, UK - Southbound</t>
        </is>
      </c>
      <c r="B129" s="9" t="inlineStr">
        <is>
          <t>OPEN</t>
        </is>
      </c>
      <c r="C129" s="10" t="n">
        <v>12</v>
      </c>
      <c r="D129" s="8" t="inlineStr">
        <is>
          <t>M1, Newport Pagnell</t>
        </is>
      </c>
      <c r="E129" s="8" t="inlineStr">
        <is>
          <t>Newport Pagnell</t>
        </is>
      </c>
      <c r="F129" s="9" t="inlineStr">
        <is>
          <t>MK16 8DS</t>
        </is>
      </c>
      <c r="G129" s="10" t="n">
        <v>52.084312</v>
      </c>
      <c r="H129" s="10" t="n">
        <v>-0.748467</v>
      </c>
      <c r="I129" s="11" t="n">
        <v>4.5</v>
      </c>
      <c r="J129" s="12">
        <f>HYPERLINK("https://www.google.com/maps/search/?api=1&amp;query=52.084312,-0.748467", "Open Google Maps")</f>
        <v/>
      </c>
      <c r="K129" s="12">
        <f>HYPERLINK("https://waze.com/ul?ll=52.084312,-0.748467&amp;navigate=yes", "Open Waze")</f>
        <v/>
      </c>
    </row>
    <row r="130" ht="20" customHeight="1">
      <c r="A130" s="3" t="inlineStr">
        <is>
          <t>Newport, UK</t>
        </is>
      </c>
      <c r="B130" s="4" t="inlineStr">
        <is>
          <t>OPEN</t>
        </is>
      </c>
      <c r="C130" s="5" t="n">
        <v>12</v>
      </c>
      <c r="D130" s="3" t="inlineStr">
        <is>
          <t>Coldra Wood Drive, Caerleon</t>
        </is>
      </c>
      <c r="E130" s="3" t="inlineStr">
        <is>
          <t>Newport</t>
        </is>
      </c>
      <c r="F130" s="4" t="inlineStr">
        <is>
          <t>NP18 1HQ</t>
        </is>
      </c>
      <c r="G130" s="5" t="n">
        <v>51.601776</v>
      </c>
      <c r="H130" s="5" t="n">
        <v>-2.934743</v>
      </c>
      <c r="I130" s="6" t="n">
        <v>4.6</v>
      </c>
      <c r="J130" s="7">
        <f>HYPERLINK("https://www.google.com/maps/search/?api=1&amp;query=51.601776,-2.934743", "Open Google Maps")</f>
        <v/>
      </c>
      <c r="K130" s="7">
        <f>HYPERLINK("https://waze.com/ul?ll=51.601776,-2.934743&amp;navigate=yes", "Open Waze")</f>
        <v/>
      </c>
    </row>
    <row r="131" ht="20" customHeight="1">
      <c r="A131" s="8" t="inlineStr">
        <is>
          <t>Northampton (SC), UK</t>
        </is>
      </c>
      <c r="B131" s="9" t="inlineStr">
        <is>
          <t>OPEN</t>
        </is>
      </c>
      <c r="C131" s="10" t="n">
        <v>8</v>
      </c>
      <c r="D131" s="8" t="inlineStr">
        <is>
          <t>1 Ferris Row</t>
        </is>
      </c>
      <c r="E131" s="8" t="inlineStr">
        <is>
          <t>Northampton</t>
        </is>
      </c>
      <c r="F131" s="9" t="inlineStr">
        <is>
          <t>NN3 9HX</t>
        </is>
      </c>
      <c r="G131" s="10" t="n">
        <v>52.2425</v>
      </c>
      <c r="H131" s="10" t="n">
        <v>-0.8341</v>
      </c>
      <c r="I131" s="11" t="n">
        <v>4.4</v>
      </c>
      <c r="J131" s="12">
        <f>HYPERLINK("https://www.google.com/maps/search/?api=1&amp;query=52.2425,-0.8341", "Open Google Maps")</f>
        <v/>
      </c>
      <c r="K131" s="12">
        <f>HYPERLINK("https://waze.com/ul?ll=52.2425,-0.8341&amp;navigate=yes", "Open Waze")</f>
        <v/>
      </c>
    </row>
    <row r="132" ht="20" customHeight="1">
      <c r="A132" s="3" t="inlineStr">
        <is>
          <t>Northampton, UK - Grange Park</t>
        </is>
      </c>
      <c r="B132" s="4" t="inlineStr">
        <is>
          <t>OPEN</t>
        </is>
      </c>
      <c r="C132" s="5" t="n">
        <v>6</v>
      </c>
      <c r="D132" s="3" t="inlineStr">
        <is>
          <t>Grange Park, Junction 15, M1 Loake Close</t>
        </is>
      </c>
      <c r="E132" s="3" t="inlineStr">
        <is>
          <t>Northampton</t>
        </is>
      </c>
      <c r="F132" s="4" t="inlineStr">
        <is>
          <t>NN4 5EZ</t>
        </is>
      </c>
      <c r="G132" s="5" t="n">
        <v>52.185729</v>
      </c>
      <c r="H132" s="5" t="n">
        <v>-0.89127</v>
      </c>
      <c r="I132" s="6" t="n">
        <v>4.7</v>
      </c>
      <c r="J132" s="7">
        <f>HYPERLINK("https://www.google.com/maps/search/?api=1&amp;query=52.185729,-0.89127", "Open Google Maps")</f>
        <v/>
      </c>
      <c r="K132" s="7">
        <f>HYPERLINK("https://waze.com/ul?ll=52.185729,-0.89127&amp;navigate=yes", "Open Waze")</f>
        <v/>
      </c>
    </row>
    <row r="133" ht="20" customHeight="1">
      <c r="A133" s="8" t="inlineStr">
        <is>
          <t>Norwich (SC), UK - Mile Cross</t>
        </is>
      </c>
      <c r="B133" s="9" t="inlineStr">
        <is>
          <t>OPEN</t>
        </is>
      </c>
      <c r="C133" s="10" t="n">
        <v>12</v>
      </c>
      <c r="D133" s="8" t="inlineStr">
        <is>
          <t>79 Mile Cross Ln NR6 6TX</t>
        </is>
      </c>
      <c r="E133" s="8" t="inlineStr">
        <is>
          <t>Norwich</t>
        </is>
      </c>
      <c r="F133" s="9" t="inlineStr">
        <is>
          <t>NR6 6TX</t>
        </is>
      </c>
      <c r="G133" s="10" t="n">
        <v>52.656328</v>
      </c>
      <c r="H133" s="10" t="n">
        <v>1.287747</v>
      </c>
      <c r="I133" s="11" t="n">
        <v>4.3</v>
      </c>
      <c r="J133" s="12">
        <f>HYPERLINK("https://www.google.com/maps/search/?api=1&amp;query=52.656328,1.287747", "Open Google Maps")</f>
        <v/>
      </c>
      <c r="K133" s="12">
        <f>HYPERLINK("https://waze.com/ul?ll=52.656328,1.287747&amp;navigate=yes", "Open Waze")</f>
        <v/>
      </c>
    </row>
    <row r="134" ht="20" customHeight="1">
      <c r="A134" s="3" t="inlineStr">
        <is>
          <t>Norwich East, UK - Gridserve Electric Forecourt</t>
        </is>
      </c>
      <c r="B134" s="4" t="inlineStr">
        <is>
          <t>OPEN</t>
        </is>
      </c>
      <c r="C134" s="5" t="n">
        <v>8</v>
      </c>
      <c r="D134" s="3" t="inlineStr">
        <is>
          <t>Gridserve Electric Forecourt, Maple Way, Postwick NR13 5HB</t>
        </is>
      </c>
      <c r="E134" s="3" t="inlineStr">
        <is>
          <t>Norwich East</t>
        </is>
      </c>
      <c r="F134" s="4" t="inlineStr">
        <is>
          <t>NR13 5HB</t>
        </is>
      </c>
      <c r="G134" s="5" t="n">
        <v>52.627635</v>
      </c>
      <c r="H134" s="5" t="n">
        <v>1.383701</v>
      </c>
      <c r="I134" s="6" t="n">
        <v>4.3</v>
      </c>
      <c r="J134" s="7">
        <f>HYPERLINK("https://www.google.com/maps/search/?api=1&amp;query=52.627635,1.383701", "Open Google Maps")</f>
        <v/>
      </c>
      <c r="K134" s="7">
        <f>HYPERLINK("https://waze.com/ul?ll=52.627635,1.383701&amp;navigate=yes", "Open Waze")</f>
        <v/>
      </c>
    </row>
    <row r="135" ht="20" customHeight="1">
      <c r="A135" s="8" t="inlineStr">
        <is>
          <t>Nottingham (SC), UK</t>
        </is>
      </c>
      <c r="B135" s="9" t="inlineStr">
        <is>
          <t>OPEN</t>
        </is>
      </c>
      <c r="C135" s="10" t="n">
        <v>8</v>
      </c>
      <c r="D135" s="8" t="inlineStr">
        <is>
          <t>29 Loughborough Rd</t>
        </is>
      </c>
      <c r="E135" s="8" t="inlineStr">
        <is>
          <t>West Bridgford</t>
        </is>
      </c>
      <c r="F135" s="9" t="inlineStr">
        <is>
          <t>NG2 7LG</t>
        </is>
      </c>
      <c r="G135" s="10" t="n">
        <v>52.9361</v>
      </c>
      <c r="H135" s="10" t="n">
        <v>-1.1343</v>
      </c>
      <c r="I135" s="11" t="n">
        <v>4.5</v>
      </c>
      <c r="J135" s="12">
        <f>HYPERLINK("https://www.google.com/maps/search/?api=1&amp;query=52.9361,-1.1343", "Open Google Maps")</f>
        <v/>
      </c>
      <c r="K135" s="12">
        <f>HYPERLINK("https://waze.com/ul?ll=52.9361,-1.1343&amp;navigate=yes", "Open Waze")</f>
        <v/>
      </c>
    </row>
    <row r="136" ht="20" customHeight="1">
      <c r="A136" s="3" t="inlineStr">
        <is>
          <t>Nottingham, UK - Victoria Centre</t>
        </is>
      </c>
      <c r="B136" s="4" t="inlineStr">
        <is>
          <t>OPEN</t>
        </is>
      </c>
      <c r="C136" s="5" t="n">
        <v>12</v>
      </c>
      <c r="D136" s="3" t="inlineStr">
        <is>
          <t>Glasshouse Street</t>
        </is>
      </c>
      <c r="E136" s="3" t="inlineStr">
        <is>
          <t>Nottingham</t>
        </is>
      </c>
      <c r="F136" s="4" t="inlineStr">
        <is>
          <t>NG1 3QN</t>
        </is>
      </c>
      <c r="G136" s="5" t="n">
        <v>52.957009</v>
      </c>
      <c r="H136" s="5" t="n">
        <v>-1.147388</v>
      </c>
      <c r="I136" s="6" t="n">
        <v>4.5</v>
      </c>
      <c r="J136" s="7">
        <f>HYPERLINK("https://www.google.com/maps/search/?api=1&amp;query=52.957009,-1.147388", "Open Google Maps")</f>
        <v/>
      </c>
      <c r="K136" s="7">
        <f>HYPERLINK("https://waze.com/ul?ll=52.957009,-1.147388&amp;navigate=yes", "Open Waze")</f>
        <v/>
      </c>
    </row>
    <row r="137" ht="20" customHeight="1">
      <c r="A137" s="8" t="inlineStr">
        <is>
          <t>Oxford, UK - Redbridge</t>
        </is>
      </c>
      <c r="B137" s="9" t="inlineStr">
        <is>
          <t>OPEN</t>
        </is>
      </c>
      <c r="C137" s="10" t="n">
        <v>12</v>
      </c>
      <c r="D137" s="8" t="inlineStr">
        <is>
          <t>Redbridge Park and Ride, Abingdon Rd</t>
        </is>
      </c>
      <c r="E137" s="8" t="inlineStr">
        <is>
          <t>Oxford</t>
        </is>
      </c>
      <c r="F137" s="9" t="inlineStr">
        <is>
          <t>OX1 4XG</t>
        </is>
      </c>
      <c r="G137" s="10" t="n">
        <v>51.72969</v>
      </c>
      <c r="H137" s="10" t="n">
        <v>-1.24929</v>
      </c>
      <c r="I137" s="11" t="n">
        <v>4.6</v>
      </c>
      <c r="J137" s="12">
        <f>HYPERLINK("https://www.google.com/maps/search/?api=1&amp;query=51.72969,-1.24929", "Open Google Maps")</f>
        <v/>
      </c>
      <c r="K137" s="12">
        <f>HYPERLINK("https://waze.com/ul?ll=51.72969,-1.24929&amp;navigate=yes", "Open Waze")</f>
        <v/>
      </c>
    </row>
    <row r="138" ht="20" customHeight="1">
      <c r="A138" s="3" t="inlineStr">
        <is>
          <t>Pease Pottage, UK</t>
        </is>
      </c>
      <c r="B138" s="4" t="inlineStr">
        <is>
          <t>OPEN</t>
        </is>
      </c>
      <c r="C138" s="5" t="n">
        <v>16</v>
      </c>
      <c r="D138" s="3" t="inlineStr">
        <is>
          <t>Pease Pottage Services, M23, J11</t>
        </is>
      </c>
      <c r="E138" s="3" t="inlineStr">
        <is>
          <t>Pease Pottage</t>
        </is>
      </c>
      <c r="F138" s="4" t="inlineStr">
        <is>
          <t>RH11 9YA</t>
        </is>
      </c>
      <c r="G138" s="5" t="n">
        <v>51.083506</v>
      </c>
      <c r="H138" s="5" t="n">
        <v>-0.199009</v>
      </c>
      <c r="I138" s="6" t="n">
        <v>4.6</v>
      </c>
      <c r="J138" s="7">
        <f>HYPERLINK("https://www.google.com/maps/search/?api=1&amp;query=51.083506,-0.199009", "Open Google Maps")</f>
        <v/>
      </c>
      <c r="K138" s="7">
        <f>HYPERLINK("https://waze.com/ul?ll=51.083506,-0.199009&amp;navigate=yes", "Open Waze")</f>
        <v/>
      </c>
    </row>
    <row r="139" ht="20" customHeight="1">
      <c r="A139" s="8" t="inlineStr">
        <is>
          <t>Penhale, UK</t>
        </is>
      </c>
      <c r="B139" s="9" t="inlineStr">
        <is>
          <t>OPEN</t>
        </is>
      </c>
      <c r="C139" s="10" t="n">
        <v>8</v>
      </c>
      <c r="D139" s="8" t="inlineStr">
        <is>
          <t>Kingsley Village retail park</t>
        </is>
      </c>
      <c r="E139" s="8" t="inlineStr">
        <is>
          <t>Cornwall</t>
        </is>
      </c>
      <c r="F139" s="9" t="inlineStr">
        <is>
          <t>TR9 6NA</t>
        </is>
      </c>
      <c r="G139" s="10" t="n">
        <v>50.378121</v>
      </c>
      <c r="H139" s="10" t="n">
        <v>-4.942788</v>
      </c>
      <c r="I139" s="11" t="n">
        <v>4.5</v>
      </c>
      <c r="J139" s="12">
        <f>HYPERLINK("https://www.google.com/maps/search/?api=1&amp;query=50.378121,-4.942788", "Open Google Maps")</f>
        <v/>
      </c>
      <c r="K139" s="12">
        <f>HYPERLINK("https://waze.com/ul?ll=50.378121,-4.942788&amp;navigate=yes", "Open Waze")</f>
        <v/>
      </c>
    </row>
    <row r="140" ht="20" customHeight="1">
      <c r="A140" s="3" t="inlineStr">
        <is>
          <t>Perth, UK</t>
        </is>
      </c>
      <c r="B140" s="4" t="inlineStr">
        <is>
          <t>OPEN</t>
        </is>
      </c>
      <c r="C140" s="5" t="n">
        <v>12</v>
      </c>
      <c r="D140" s="3" t="inlineStr">
        <is>
          <t>Broxden Ave</t>
        </is>
      </c>
      <c r="E140" s="3" t="inlineStr">
        <is>
          <t>Tayside</t>
        </is>
      </c>
      <c r="F140" s="4" t="inlineStr">
        <is>
          <t>PH2 0PX</t>
        </is>
      </c>
      <c r="G140" s="5" t="n">
        <v>56.38604</v>
      </c>
      <c r="H140" s="5" t="n">
        <v>-3.479426</v>
      </c>
      <c r="I140" s="6" t="n">
        <v>4.5</v>
      </c>
      <c r="J140" s="7">
        <f>HYPERLINK("https://www.google.com/maps/search/?api=1&amp;query=56.38604,-3.479426", "Open Google Maps")</f>
        <v/>
      </c>
      <c r="K140" s="7">
        <f>HYPERLINK("https://waze.com/ul?ll=56.38604,-3.479426&amp;navigate=yes", "Open Waze")</f>
        <v/>
      </c>
    </row>
    <row r="141" ht="20" customHeight="1">
      <c r="A141" s="8" t="inlineStr">
        <is>
          <t>Portsmouth, UK</t>
        </is>
      </c>
      <c r="B141" s="9" t="inlineStr">
        <is>
          <t>OPEN</t>
        </is>
      </c>
      <c r="C141" s="10" t="n">
        <v>8</v>
      </c>
      <c r="D141" s="8" t="inlineStr">
        <is>
          <t>Langstone Technology Park, Langstone Road</t>
        </is>
      </c>
      <c r="E141" s="8" t="inlineStr">
        <is>
          <t>Havant</t>
        </is>
      </c>
      <c r="F141" s="9" t="inlineStr">
        <is>
          <t>PO9 1SA</t>
        </is>
      </c>
      <c r="G141" s="10" t="n">
        <v>50.847773</v>
      </c>
      <c r="H141" s="10" t="n">
        <v>-0.991137</v>
      </c>
      <c r="I141" s="11" t="n">
        <v>4.7</v>
      </c>
      <c r="J141" s="12">
        <f>HYPERLINK("https://www.google.com/maps/search/?api=1&amp;query=50.847773,-0.991137", "Open Google Maps")</f>
        <v/>
      </c>
      <c r="K141" s="12">
        <f>HYPERLINK("https://waze.com/ul?ll=50.847773,-0.991137&amp;navigate=yes", "Open Waze")</f>
        <v/>
      </c>
    </row>
    <row r="142" ht="20" customHeight="1">
      <c r="A142" s="3" t="inlineStr">
        <is>
          <t>Preston, UK - South</t>
        </is>
      </c>
      <c r="B142" s="4" t="inlineStr">
        <is>
          <t>OPEN</t>
        </is>
      </c>
      <c r="C142" s="5" t="n">
        <v>15</v>
      </c>
      <c r="D142" s="3" t="inlineStr">
        <is>
          <t>Reedfield Place, Walton Summit, Preston</t>
        </is>
      </c>
      <c r="E142" s="3" t="inlineStr">
        <is>
          <t>Preston</t>
        </is>
      </c>
      <c r="F142" s="4" t="inlineStr">
        <is>
          <t>PR5 8AA</t>
        </is>
      </c>
      <c r="G142" s="5" t="n">
        <v>53.718897</v>
      </c>
      <c r="H142" s="5" t="n">
        <v>-2.654204</v>
      </c>
      <c r="I142" s="6" t="n">
        <v>4.4</v>
      </c>
      <c r="J142" s="7">
        <f>HYPERLINK("https://www.google.com/maps/search/?api=1&amp;query=53.718897,-2.654204", "Open Google Maps")</f>
        <v/>
      </c>
      <c r="K142" s="7">
        <f>HYPERLINK("https://waze.com/ul?ll=53.718897,-2.654204&amp;navigate=yes", "Open Waze")</f>
        <v/>
      </c>
    </row>
    <row r="143" ht="20" customHeight="1">
      <c r="A143" s="8" t="inlineStr">
        <is>
          <t>Reading, UK</t>
        </is>
      </c>
      <c r="B143" s="9" t="inlineStr">
        <is>
          <t>OPEN</t>
        </is>
      </c>
      <c r="C143" s="10" t="n">
        <v>4</v>
      </c>
      <c r="D143" s="8" t="inlineStr">
        <is>
          <t>250 S Oak Way</t>
        </is>
      </c>
      <c r="E143" s="8" t="inlineStr">
        <is>
          <t>Reading</t>
        </is>
      </c>
      <c r="F143" s="9" t="inlineStr">
        <is>
          <t>RG2 6UG</t>
        </is>
      </c>
      <c r="G143" s="10" t="n">
        <v>51.420611</v>
      </c>
      <c r="H143" s="10" t="n">
        <v>-0.988028</v>
      </c>
      <c r="I143" s="11" t="n">
        <v>4.4</v>
      </c>
      <c r="J143" s="12">
        <f>HYPERLINK("https://www.google.com/maps/search/?api=1&amp;query=51.420611,-0.988028", "Open Google Maps")</f>
        <v/>
      </c>
      <c r="K143" s="12">
        <f>HYPERLINK("https://waze.com/ul?ll=51.420611,-0.988028&amp;navigate=yes", "Open Waze")</f>
        <v/>
      </c>
    </row>
    <row r="144" ht="20" customHeight="1">
      <c r="A144" s="3" t="inlineStr">
        <is>
          <t>Reading, UK - Katesgrove (SC)</t>
        </is>
      </c>
      <c r="B144" s="4" t="inlineStr">
        <is>
          <t>OPEN</t>
        </is>
      </c>
      <c r="C144" s="5" t="n">
        <v>12</v>
      </c>
      <c r="D144" s="3" t="inlineStr">
        <is>
          <t>160 Basingstoke Road</t>
        </is>
      </c>
      <c r="E144" s="3" t="inlineStr">
        <is>
          <t>Reading</t>
        </is>
      </c>
      <c r="F144" s="4" t="inlineStr">
        <is>
          <t>RG2 0HJ</t>
        </is>
      </c>
      <c r="G144" s="5" t="n">
        <v>51.43952</v>
      </c>
      <c r="H144" s="5" t="n">
        <v>-0.96816</v>
      </c>
      <c r="I144" s="6" t="n">
        <v>4.6</v>
      </c>
      <c r="J144" s="7">
        <f>HYPERLINK("https://www.google.com/maps/search/?api=1&amp;query=51.43952,-0.96816", "Open Google Maps")</f>
        <v/>
      </c>
      <c r="K144" s="7">
        <f>HYPERLINK("https://waze.com/ul?ll=51.43952,-0.96816&amp;navigate=yes", "Open Waze")</f>
        <v/>
      </c>
    </row>
    <row r="145" ht="20" customHeight="1">
      <c r="A145" s="8" t="inlineStr">
        <is>
          <t>Reading, UK - Westbound</t>
        </is>
      </c>
      <c r="B145" s="9" t="inlineStr">
        <is>
          <t>OPEN</t>
        </is>
      </c>
      <c r="C145" s="10" t="n">
        <v>12</v>
      </c>
      <c r="D145" s="8" t="inlineStr">
        <is>
          <t>Moto services, M4 Motorway</t>
        </is>
      </c>
      <c r="E145" s="8" t="inlineStr">
        <is>
          <t>Burghfield</t>
        </is>
      </c>
      <c r="F145" s="9" t="inlineStr">
        <is>
          <t>RG30 3UQ</t>
        </is>
      </c>
      <c r="G145" s="10" t="n">
        <v>51.423593</v>
      </c>
      <c r="H145" s="10" t="n">
        <v>-1.038879</v>
      </c>
      <c r="I145" s="11" t="n">
        <v>4.3</v>
      </c>
      <c r="J145" s="12">
        <f>HYPERLINK("https://www.google.com/maps/search/?api=1&amp;query=51.423593,-1.038879", "Open Google Maps")</f>
        <v/>
      </c>
      <c r="K145" s="12">
        <f>HYPERLINK("https://waze.com/ul?ll=51.423593,-1.038879&amp;navigate=yes", "Open Waze")</f>
        <v/>
      </c>
    </row>
    <row r="146" ht="20" customHeight="1">
      <c r="A146" s="3" t="inlineStr">
        <is>
          <t>Rheged, UK</t>
        </is>
      </c>
      <c r="B146" s="4" t="inlineStr">
        <is>
          <t>OPEN</t>
        </is>
      </c>
      <c r="C146" s="5" t="n">
        <v>24</v>
      </c>
      <c r="D146" s="3" t="inlineStr">
        <is>
          <t>Redhills Lane</t>
        </is>
      </c>
      <c r="E146" s="3" t="inlineStr">
        <is>
          <t>Rheged</t>
        </is>
      </c>
      <c r="F146" s="4" t="n"/>
      <c r="G146" s="5" t="n">
        <v>54.646887</v>
      </c>
      <c r="H146" s="5" t="n">
        <v>-2.781186</v>
      </c>
      <c r="I146" s="6" t="n">
        <v>4.5</v>
      </c>
      <c r="J146" s="7">
        <f>HYPERLINK("https://www.google.com/maps/search/?api=1&amp;query=54.646887,-2.781186", "Open Google Maps")</f>
        <v/>
      </c>
      <c r="K146" s="7">
        <f>HYPERLINK("https://waze.com/ul?ll=54.646887,-2.781186&amp;navigate=yes", "Open Waze")</f>
        <v/>
      </c>
    </row>
    <row r="147" ht="20" customHeight="1">
      <c r="A147" s="8" t="inlineStr">
        <is>
          <t>Rotherham, UK</t>
        </is>
      </c>
      <c r="B147" s="9" t="inlineStr">
        <is>
          <t>OPEN</t>
        </is>
      </c>
      <c r="C147" s="10" t="n">
        <v>20</v>
      </c>
      <c r="D147" s="8" t="inlineStr">
        <is>
          <t>Orchard Road</t>
        </is>
      </c>
      <c r="E147" s="8" t="inlineStr">
        <is>
          <t>Rotherham</t>
        </is>
      </c>
      <c r="F147" s="9" t="inlineStr">
        <is>
          <t>S60 4EQ</t>
        </is>
      </c>
      <c r="G147" s="10" t="n">
        <v>53.39692</v>
      </c>
      <c r="H147" s="10" t="n">
        <v>-1.352079</v>
      </c>
      <c r="I147" s="11" t="n">
        <v>4.6</v>
      </c>
      <c r="J147" s="12">
        <f>HYPERLINK("https://www.google.com/maps/search/?api=1&amp;query=53.39692,-1.352079", "Open Google Maps")</f>
        <v/>
      </c>
      <c r="K147" s="12">
        <f>HYPERLINK("https://waze.com/ul?ll=53.39692,-1.352079&amp;navigate=yes", "Open Waze")</f>
        <v/>
      </c>
    </row>
    <row r="148" ht="20" customHeight="1">
      <c r="A148" s="3" t="inlineStr">
        <is>
          <t>Rugby, UK</t>
        </is>
      </c>
      <c r="B148" s="4" t="inlineStr">
        <is>
          <t>OPEN</t>
        </is>
      </c>
      <c r="C148" s="5" t="n">
        <v>28</v>
      </c>
      <c r="D148" s="3" t="inlineStr">
        <is>
          <t>A426</t>
        </is>
      </c>
      <c r="E148" s="3" t="inlineStr">
        <is>
          <t>Rugby</t>
        </is>
      </c>
      <c r="F148" s="4" t="inlineStr">
        <is>
          <t>CV23 0AR</t>
        </is>
      </c>
      <c r="G148" s="5" t="n">
        <v>52.4098</v>
      </c>
      <c r="H148" s="5" t="n">
        <v>-1.251</v>
      </c>
      <c r="I148" s="6" t="n">
        <v>4.5</v>
      </c>
      <c r="J148" s="7">
        <f>HYPERLINK("https://www.google.com/maps/search/?api=1&amp;query=52.4098,-1.251", "Open Google Maps")</f>
        <v/>
      </c>
      <c r="K148" s="7">
        <f>HYPERLINK("https://waze.com/ul?ll=52.4098,-1.251&amp;navigate=yes", "Open Waze")</f>
        <v/>
      </c>
    </row>
    <row r="149" ht="20" customHeight="1">
      <c r="A149" s="8" t="inlineStr">
        <is>
          <t>Rugby, UK - J1</t>
        </is>
      </c>
      <c r="B149" s="9" t="inlineStr">
        <is>
          <t>OPEN</t>
        </is>
      </c>
      <c r="C149" s="10" t="n">
        <v>12</v>
      </c>
      <c r="D149" s="8" t="inlineStr">
        <is>
          <t>Leicester Road</t>
        </is>
      </c>
      <c r="E149" s="8" t="inlineStr">
        <is>
          <t>Rugby</t>
        </is>
      </c>
      <c r="F149" s="9" t="inlineStr">
        <is>
          <t>CW21 1RW</t>
        </is>
      </c>
      <c r="G149" s="10" t="n">
        <v>52.386082</v>
      </c>
      <c r="H149" s="10" t="n">
        <v>-1.260357</v>
      </c>
      <c r="I149" s="11" t="n">
        <v>4.6</v>
      </c>
      <c r="J149" s="12">
        <f>HYPERLINK("https://www.google.com/maps/search/?api=1&amp;query=52.386082,-1.260357", "Open Google Maps")</f>
        <v/>
      </c>
      <c r="K149" s="12">
        <f>HYPERLINK("https://waze.com/ul?ll=52.386082,-1.260357&amp;navigate=yes", "Open Waze")</f>
        <v/>
      </c>
    </row>
    <row r="150" ht="20" customHeight="1">
      <c r="A150" s="3" t="inlineStr">
        <is>
          <t>Sarn Park, UK</t>
        </is>
      </c>
      <c r="B150" s="4" t="inlineStr">
        <is>
          <t>OPEN</t>
        </is>
      </c>
      <c r="C150" s="5" t="n">
        <v>16</v>
      </c>
      <c r="D150" s="3" t="inlineStr">
        <is>
          <t>Sarn Park Welcome Break Services, J36. M4 Motorway</t>
        </is>
      </c>
      <c r="E150" s="3" t="inlineStr">
        <is>
          <t>Sarn</t>
        </is>
      </c>
      <c r="F150" s="4" t="inlineStr">
        <is>
          <t>CF32 9SY</t>
        </is>
      </c>
      <c r="G150" s="5" t="n">
        <v>51.535292</v>
      </c>
      <c r="H150" s="5" t="n">
        <v>-3.577547</v>
      </c>
      <c r="I150" s="6" t="n">
        <v>4.5</v>
      </c>
      <c r="J150" s="7">
        <f>HYPERLINK("https://www.google.com/maps/search/?api=1&amp;query=51.535292,-3.577547", "Open Google Maps")</f>
        <v/>
      </c>
      <c r="K150" s="7">
        <f>HYPERLINK("https://waze.com/ul?ll=51.535292,-3.577547&amp;navigate=yes", "Open Waze")</f>
        <v/>
      </c>
    </row>
    <row r="151" ht="20" customHeight="1">
      <c r="A151" s="8" t="inlineStr">
        <is>
          <t>Scotch Corner, UK</t>
        </is>
      </c>
      <c r="B151" s="9" t="inlineStr">
        <is>
          <t>OPEN</t>
        </is>
      </c>
      <c r="C151" s="10" t="n">
        <v>8</v>
      </c>
      <c r="D151" s="8" t="inlineStr">
        <is>
          <t>Darlington - A1 &amp; A66</t>
        </is>
      </c>
      <c r="E151" s="8" t="inlineStr">
        <is>
          <t>Richmond</t>
        </is>
      </c>
      <c r="F151" s="9" t="inlineStr">
        <is>
          <t>DL10 6NR</t>
        </is>
      </c>
      <c r="G151" s="10" t="n">
        <v>54.4421</v>
      </c>
      <c r="H151" s="10" t="n">
        <v>-1.6713</v>
      </c>
      <c r="I151" s="11" t="n">
        <v>4.5</v>
      </c>
      <c r="J151" s="12">
        <f>HYPERLINK("https://www.google.com/maps/search/?api=1&amp;query=54.4421,-1.6713", "Open Google Maps")</f>
        <v/>
      </c>
      <c r="K151" s="12">
        <f>HYPERLINK("https://waze.com/ul?ll=54.4421,-1.6713&amp;navigate=yes", "Open Waze")</f>
        <v/>
      </c>
    </row>
    <row r="152" ht="20" customHeight="1">
      <c r="A152" s="3" t="inlineStr">
        <is>
          <t>Sevenoaks, UK</t>
        </is>
      </c>
      <c r="B152" s="4" t="inlineStr">
        <is>
          <t>OPEN</t>
        </is>
      </c>
      <c r="C152" s="5" t="n">
        <v>8</v>
      </c>
      <c r="D152" s="3" t="inlineStr">
        <is>
          <t>Donnington Manor Hotel, London Rd, Dunton Green</t>
        </is>
      </c>
      <c r="E152" s="3" t="inlineStr">
        <is>
          <t>Sevenoaks</t>
        </is>
      </c>
      <c r="F152" s="4" t="inlineStr">
        <is>
          <t>TN13 2TD</t>
        </is>
      </c>
      <c r="G152" s="5" t="n">
        <v>51.3025544</v>
      </c>
      <c r="H152" s="5" t="n">
        <v>0.1614214</v>
      </c>
      <c r="I152" s="6" t="n">
        <v>4.5</v>
      </c>
      <c r="J152" s="7">
        <f>HYPERLINK("https://www.google.com/maps/search/?api=1&amp;query=51.3025544,0.1614214", "Open Google Maps")</f>
        <v/>
      </c>
      <c r="K152" s="7">
        <f>HYPERLINK("https://waze.com/ul?ll=51.3025544,0.1614214&amp;navigate=yes", "Open Waze")</f>
        <v/>
      </c>
    </row>
    <row r="153" ht="20" customHeight="1">
      <c r="A153" s="8" t="inlineStr">
        <is>
          <t>Sheffield, UK - Meadowhall</t>
        </is>
      </c>
      <c r="B153" s="9" t="inlineStr">
        <is>
          <t>OPEN</t>
        </is>
      </c>
      <c r="C153" s="10" t="n">
        <v>12</v>
      </c>
      <c r="D153" s="8" t="inlineStr">
        <is>
          <t>Meadowhall retail park</t>
        </is>
      </c>
      <c r="E153" s="8" t="inlineStr">
        <is>
          <t>Sheffield</t>
        </is>
      </c>
      <c r="F153" s="9" t="inlineStr">
        <is>
          <t>S9 2YZ</t>
        </is>
      </c>
      <c r="G153" s="10" t="n">
        <v>53.4053285</v>
      </c>
      <c r="H153" s="10" t="n">
        <v>-1.4144881</v>
      </c>
      <c r="I153" s="11" t="n">
        <v>4.6</v>
      </c>
      <c r="J153" s="12">
        <f>HYPERLINK("https://www.google.com/maps/search/?api=1&amp;query=53.4053285,-1.4144881", "Open Google Maps")</f>
        <v/>
      </c>
      <c r="K153" s="12">
        <f>HYPERLINK("https://waze.com/ul?ll=53.4053285,-1.4144881&amp;navigate=yes", "Open Waze")</f>
        <v/>
      </c>
    </row>
    <row r="154" ht="20" customHeight="1">
      <c r="A154" s="3" t="inlineStr">
        <is>
          <t>Solihull (SC), UK</t>
        </is>
      </c>
      <c r="B154" s="4" t="inlineStr">
        <is>
          <t>OPEN</t>
        </is>
      </c>
      <c r="C154" s="5" t="n">
        <v>6</v>
      </c>
      <c r="D154" s="3" t="inlineStr">
        <is>
          <t>Prologis House, Blythe Gate, Blythe Valley Park</t>
        </is>
      </c>
      <c r="E154" s="3" t="inlineStr">
        <is>
          <t>Solihull</t>
        </is>
      </c>
      <c r="F154" s="4" t="inlineStr">
        <is>
          <t>B90 8AA</t>
        </is>
      </c>
      <c r="G154" s="5" t="n">
        <v>52.377169</v>
      </c>
      <c r="H154" s="5" t="n">
        <v>-1.796501</v>
      </c>
      <c r="I154" s="6" t="n">
        <v>4.6</v>
      </c>
      <c r="J154" s="7">
        <f>HYPERLINK("https://www.google.com/maps/search/?api=1&amp;query=52.377169,-1.796501", "Open Google Maps")</f>
        <v/>
      </c>
      <c r="K154" s="7">
        <f>HYPERLINK("https://waze.com/ul?ll=52.377169,-1.796501&amp;navigate=yes", "Open Waze")</f>
        <v/>
      </c>
    </row>
    <row r="155" ht="20" customHeight="1">
      <c r="A155" s="8" t="inlineStr">
        <is>
          <t>Solihull, UK</t>
        </is>
      </c>
      <c r="B155" s="9" t="inlineStr">
        <is>
          <t>OPEN</t>
        </is>
      </c>
      <c r="C155" s="10" t="n">
        <v>12</v>
      </c>
      <c r="D155" s="8" t="inlineStr">
        <is>
          <t>Chalford Way</t>
        </is>
      </c>
      <c r="E155" s="8" t="inlineStr">
        <is>
          <t>Solihull</t>
        </is>
      </c>
      <c r="F155" s="9" t="inlineStr">
        <is>
          <t>B90 4LD</t>
        </is>
      </c>
      <c r="G155" s="10" t="n">
        <v>52.400332</v>
      </c>
      <c r="H155" s="10" t="n">
        <v>-1.817832</v>
      </c>
      <c r="I155" s="11" t="n">
        <v>4.6</v>
      </c>
      <c r="J155" s="12">
        <f>HYPERLINK("https://www.google.com/maps/search/?api=1&amp;query=52.400332,-1.817832", "Open Google Maps")</f>
        <v/>
      </c>
      <c r="K155" s="12">
        <f>HYPERLINK("https://waze.com/ul?ll=52.400332,-1.817832&amp;navigate=yes", "Open Waze")</f>
        <v/>
      </c>
    </row>
    <row r="156" ht="20" customHeight="1">
      <c r="A156" s="3" t="inlineStr">
        <is>
          <t>South Mimms, UK</t>
        </is>
      </c>
      <c r="B156" s="4" t="inlineStr">
        <is>
          <t>OPEN</t>
        </is>
      </c>
      <c r="C156" s="5" t="n">
        <v>36</v>
      </c>
      <c r="D156" s="3" t="inlineStr">
        <is>
          <t>South Mimms Services, M25, Junction 23</t>
        </is>
      </c>
      <c r="E156" s="3" t="inlineStr">
        <is>
          <t>Potters Bar</t>
        </is>
      </c>
      <c r="F156" s="4" t="inlineStr">
        <is>
          <t>EN6 3QQ</t>
        </is>
      </c>
      <c r="G156" s="5" t="n">
        <v>51.687536</v>
      </c>
      <c r="H156" s="5" t="n">
        <v>-0.223548</v>
      </c>
      <c r="I156" s="6" t="n">
        <v>4.4</v>
      </c>
      <c r="J156" s="7">
        <f>HYPERLINK("https://www.google.com/maps/search/?api=1&amp;query=51.687536,-0.223548", "Open Google Maps")</f>
        <v/>
      </c>
      <c r="K156" s="7">
        <f>HYPERLINK("https://waze.com/ul?ll=51.687536,-0.223548&amp;navigate=yes", "Open Waze")</f>
        <v/>
      </c>
    </row>
    <row r="157" ht="20" customHeight="1">
      <c r="A157" s="8" t="inlineStr">
        <is>
          <t>Sprucefield, UK</t>
        </is>
      </c>
      <c r="B157" s="9" t="inlineStr">
        <is>
          <t>OPEN</t>
        </is>
      </c>
      <c r="C157" s="10" t="n">
        <v>8</v>
      </c>
      <c r="D157" s="8" t="inlineStr">
        <is>
          <t>1 Sprucefield Park</t>
        </is>
      </c>
      <c r="E157" s="8" t="inlineStr">
        <is>
          <t>Lisburn</t>
        </is>
      </c>
      <c r="F157" s="9" t="inlineStr">
        <is>
          <t>BT27 5UJ</t>
        </is>
      </c>
      <c r="G157" s="10" t="n">
        <v>54.491991</v>
      </c>
      <c r="H157" s="10" t="n">
        <v>-6.068177</v>
      </c>
      <c r="I157" s="11" t="n">
        <v>4.4</v>
      </c>
      <c r="J157" s="12">
        <f>HYPERLINK("https://www.google.com/maps/search/?api=1&amp;query=54.491991,-6.068177", "Open Google Maps")</f>
        <v/>
      </c>
      <c r="K157" s="12">
        <f>HYPERLINK("https://waze.com/ul?ll=54.491991,-6.068177&amp;navigate=yes", "Open Waze")</f>
        <v/>
      </c>
    </row>
    <row r="158" ht="20" customHeight="1">
      <c r="A158" s="3" t="inlineStr">
        <is>
          <t>St. Albans (SC), UK</t>
        </is>
      </c>
      <c r="B158" s="4" t="inlineStr">
        <is>
          <t>OPEN</t>
        </is>
      </c>
      <c r="C158" s="5" t="n">
        <v>8</v>
      </c>
      <c r="D158" s="3" t="inlineStr">
        <is>
          <t>7 Lyon Way</t>
        </is>
      </c>
      <c r="E158" s="3" t="inlineStr">
        <is>
          <t>St Albans</t>
        </is>
      </c>
      <c r="F158" s="4" t="inlineStr">
        <is>
          <t>AL4 0LQ.</t>
        </is>
      </c>
      <c r="G158" s="5" t="n">
        <v>51.751815</v>
      </c>
      <c r="H158" s="5" t="n">
        <v>-0.275291</v>
      </c>
      <c r="I158" s="6" t="n">
        <v>4.5</v>
      </c>
      <c r="J158" s="7">
        <f>HYPERLINK("https://www.google.com/maps/search/?api=1&amp;query=51.751815,-0.275291", "Open Google Maps")</f>
        <v/>
      </c>
      <c r="K158" s="7">
        <f>HYPERLINK("https://waze.com/ul?ll=51.751815,-0.275291&amp;navigate=yes", "Open Waze")</f>
        <v/>
      </c>
    </row>
    <row r="159" ht="20" customHeight="1">
      <c r="A159" s="8" t="inlineStr">
        <is>
          <t>Stevenage, UK</t>
        </is>
      </c>
      <c r="B159" s="9" t="inlineStr">
        <is>
          <t>OPEN</t>
        </is>
      </c>
      <c r="C159" s="10" t="n">
        <v>16</v>
      </c>
      <c r="D159" s="8" t="inlineStr">
        <is>
          <t>Kings Way</t>
        </is>
      </c>
      <c r="E159" s="8" t="inlineStr">
        <is>
          <t>Stevenage</t>
        </is>
      </c>
      <c r="F159" s="9" t="inlineStr">
        <is>
          <t>SG1 2UA</t>
        </is>
      </c>
      <c r="G159" s="10" t="n">
        <v>51.899333</v>
      </c>
      <c r="H159" s="10" t="n">
        <v>-0.207819</v>
      </c>
      <c r="I159" s="11" t="n">
        <v>4.6</v>
      </c>
      <c r="J159" s="12">
        <f>HYPERLINK("https://www.google.com/maps/search/?api=1&amp;query=51.899333,-0.207819", "Open Google Maps")</f>
        <v/>
      </c>
      <c r="K159" s="12">
        <f>HYPERLINK("https://waze.com/ul?ll=51.899333,-0.207819&amp;navigate=yes", "Open Waze")</f>
        <v/>
      </c>
    </row>
    <row r="160" ht="20" customHeight="1">
      <c r="A160" s="3" t="inlineStr">
        <is>
          <t>Stevenage, UK - Gridserve Electric Forecourt</t>
        </is>
      </c>
      <c r="B160" s="4" t="inlineStr">
        <is>
          <t>OPEN</t>
        </is>
      </c>
      <c r="C160" s="5" t="n">
        <v>4</v>
      </c>
      <c r="D160" s="3" t="inlineStr">
        <is>
          <t>Gridserve Electric Forecourt, J7 A1M</t>
        </is>
      </c>
      <c r="E160" s="3" t="inlineStr">
        <is>
          <t>Stevenage</t>
        </is>
      </c>
      <c r="F160" s="4" t="inlineStr">
        <is>
          <t>SG1 2AX</t>
        </is>
      </c>
      <c r="G160" s="5" t="n">
        <v>51.887469</v>
      </c>
      <c r="H160" s="5" t="n">
        <v>-0.207803</v>
      </c>
      <c r="I160" s="6" t="n">
        <v>4.6</v>
      </c>
      <c r="J160" s="7">
        <f>HYPERLINK("https://www.google.com/maps/search/?api=1&amp;query=51.887469,-0.207803", "Open Google Maps")</f>
        <v/>
      </c>
      <c r="K160" s="7">
        <f>HYPERLINK("https://waze.com/ul?ll=51.887469,-0.207803&amp;navigate=yes", "Open Waze")</f>
        <v/>
      </c>
    </row>
    <row r="161" ht="20" customHeight="1">
      <c r="A161" s="8" t="inlineStr">
        <is>
          <t>Swansea, UK</t>
        </is>
      </c>
      <c r="B161" s="9" t="inlineStr">
        <is>
          <t>OPEN</t>
        </is>
      </c>
      <c r="C161" s="10" t="n">
        <v>12</v>
      </c>
      <c r="D161" s="8" t="inlineStr">
        <is>
          <t>M4, Junction 47</t>
        </is>
      </c>
      <c r="E161" s="8" t="inlineStr">
        <is>
          <t>Swansea</t>
        </is>
      </c>
      <c r="F161" s="9" t="inlineStr">
        <is>
          <t>SA4 9GT</t>
        </is>
      </c>
      <c r="G161" s="10" t="n">
        <v>51.6787</v>
      </c>
      <c r="H161" s="10" t="n">
        <v>-3.994</v>
      </c>
      <c r="I161" s="11" t="n">
        <v>4.5</v>
      </c>
      <c r="J161" s="12">
        <f>HYPERLINK("https://www.google.com/maps/search/?api=1&amp;query=51.6787,-3.994", "Open Google Maps")</f>
        <v/>
      </c>
      <c r="K161" s="12">
        <f>HYPERLINK("https://waze.com/ul?ll=51.6787,-3.994&amp;navigate=yes", "Open Waze")</f>
        <v/>
      </c>
    </row>
    <row r="162" ht="20" customHeight="1">
      <c r="A162" s="3" t="inlineStr">
        <is>
          <t>Swindon, UK</t>
        </is>
      </c>
      <c r="B162" s="4" t="inlineStr">
        <is>
          <t>OPEN</t>
        </is>
      </c>
      <c r="C162" s="5" t="n">
        <v>16</v>
      </c>
      <c r="D162" s="3" t="inlineStr">
        <is>
          <t>Kemble Dr</t>
        </is>
      </c>
      <c r="E162" s="3" t="inlineStr">
        <is>
          <t>Swindon</t>
        </is>
      </c>
      <c r="F162" s="4" t="inlineStr">
        <is>
          <t>SN2 2DY</t>
        </is>
      </c>
      <c r="G162" s="5" t="n">
        <v>51.564985</v>
      </c>
      <c r="H162" s="5" t="n">
        <v>-1.796643</v>
      </c>
      <c r="I162" s="6" t="n">
        <v>4.3</v>
      </c>
      <c r="J162" s="7">
        <f>HYPERLINK("https://www.google.com/maps/search/?api=1&amp;query=51.564985,-1.796643", "Open Google Maps")</f>
        <v/>
      </c>
      <c r="K162" s="7">
        <f>HYPERLINK("https://waze.com/ul?ll=51.564985,-1.796643&amp;navigate=yes", "Open Waze")</f>
        <v/>
      </c>
    </row>
    <row r="163" ht="20" customHeight="1">
      <c r="A163" s="8" t="inlineStr">
        <is>
          <t>Tebay, UK - Southbound</t>
        </is>
      </c>
      <c r="B163" s="9" t="inlineStr">
        <is>
          <t>OPEN</t>
        </is>
      </c>
      <c r="C163" s="10" t="n">
        <v>12</v>
      </c>
      <c r="D163" s="8" t="inlineStr">
        <is>
          <t>Tebay Services (southbound) Westmorland Place Orton</t>
        </is>
      </c>
      <c r="E163" s="8" t="inlineStr">
        <is>
          <t>Orton</t>
        </is>
      </c>
      <c r="F163" s="9" t="inlineStr">
        <is>
          <t>CA10 3SB</t>
        </is>
      </c>
      <c r="G163" s="10" t="n">
        <v>54.453458</v>
      </c>
      <c r="H163" s="10" t="n">
        <v>-2.60607</v>
      </c>
      <c r="I163" s="11" t="n">
        <v>4.4</v>
      </c>
      <c r="J163" s="12">
        <f>HYPERLINK("https://www.google.com/maps/search/?api=1&amp;query=54.453458,-2.60607", "Open Google Maps")</f>
        <v/>
      </c>
      <c r="K163" s="12">
        <f>HYPERLINK("https://waze.com/ul?ll=54.453458,-2.60607&amp;navigate=yes", "Open Waze")</f>
        <v/>
      </c>
    </row>
    <row r="164" ht="20" customHeight="1">
      <c r="A164" s="3" t="inlineStr">
        <is>
          <t>Telford, UK</t>
        </is>
      </c>
      <c r="B164" s="4" t="inlineStr">
        <is>
          <t>OPEN</t>
        </is>
      </c>
      <c r="C164" s="5" t="n">
        <v>8</v>
      </c>
      <c r="D164" s="3" t="inlineStr">
        <is>
          <t>Telford Welcome Break Services, J4. M54. 4 Priorslee Rd</t>
        </is>
      </c>
      <c r="E164" s="3" t="inlineStr">
        <is>
          <t>Telford</t>
        </is>
      </c>
      <c r="F164" s="4" t="inlineStr">
        <is>
          <t>TF11 8TG</t>
        </is>
      </c>
      <c r="G164" s="5" t="n">
        <v>52.677489</v>
      </c>
      <c r="H164" s="5" t="n">
        <v>-2.399137</v>
      </c>
      <c r="I164" s="6" t="n">
        <v>4.7</v>
      </c>
      <c r="J164" s="7">
        <f>HYPERLINK("https://www.google.com/maps/search/?api=1&amp;query=52.677489,-2.399137", "Open Google Maps")</f>
        <v/>
      </c>
      <c r="K164" s="7">
        <f>HYPERLINK("https://waze.com/ul?ll=52.677489,-2.399137&amp;navigate=yes", "Open Waze")</f>
        <v/>
      </c>
    </row>
    <row r="165" ht="20" customHeight="1">
      <c r="A165" s="8" t="inlineStr">
        <is>
          <t>Thetford, UK</t>
        </is>
      </c>
      <c r="B165" s="9" t="inlineStr">
        <is>
          <t>OPEN</t>
        </is>
      </c>
      <c r="C165" s="10" t="n">
        <v>16</v>
      </c>
      <c r="D165" s="8" t="inlineStr">
        <is>
          <t>57 Brandon Rd</t>
        </is>
      </c>
      <c r="E165" s="8" t="inlineStr">
        <is>
          <t>Elveden</t>
        </is>
      </c>
      <c r="F165" s="9" t="inlineStr">
        <is>
          <t>IP24 3TP</t>
        </is>
      </c>
      <c r="G165" s="10" t="n">
        <v>52.38641</v>
      </c>
      <c r="H165" s="10" t="n">
        <v>0.664606</v>
      </c>
      <c r="I165" s="11" t="n">
        <v>4.6</v>
      </c>
      <c r="J165" s="12">
        <f>HYPERLINK("https://www.google.com/maps/search/?api=1&amp;query=52.38641,0.664606", "Open Google Maps")</f>
        <v/>
      </c>
      <c r="K165" s="12">
        <f>HYPERLINK("https://waze.com/ul?ll=52.38641,0.664606&amp;navigate=yes", "Open Waze")</f>
        <v/>
      </c>
    </row>
    <row r="166" ht="20" customHeight="1">
      <c r="A166" s="3" t="inlineStr">
        <is>
          <t>Thurrock, UK</t>
        </is>
      </c>
      <c r="B166" s="4" t="inlineStr">
        <is>
          <t>OPEN</t>
        </is>
      </c>
      <c r="C166" s="5" t="n">
        <v>16</v>
      </c>
      <c r="D166" s="3" t="inlineStr">
        <is>
          <t>31135 Arterial Rd West Thurrock</t>
        </is>
      </c>
      <c r="E166" s="3" t="inlineStr">
        <is>
          <t>Grays</t>
        </is>
      </c>
      <c r="F166" s="4" t="inlineStr">
        <is>
          <t>RM16 3BG</t>
        </is>
      </c>
      <c r="G166" s="5" t="n">
        <v>51.4925</v>
      </c>
      <c r="H166" s="5" t="n">
        <v>0.271</v>
      </c>
      <c r="I166" s="6" t="n">
        <v>4.5</v>
      </c>
      <c r="J166" s="7">
        <f>HYPERLINK("https://www.google.com/maps/search/?api=1&amp;query=51.4925,0.271", "Open Google Maps")</f>
        <v/>
      </c>
      <c r="K166" s="7">
        <f>HYPERLINK("https://waze.com/ul?ll=51.4925,0.271&amp;navigate=yes", "Open Waze")</f>
        <v/>
      </c>
    </row>
    <row r="167" ht="20" customHeight="1">
      <c r="A167" s="8" t="inlineStr">
        <is>
          <t>Todhills, UK - Southbound</t>
        </is>
      </c>
      <c r="B167" s="9" t="inlineStr">
        <is>
          <t>OPEN</t>
        </is>
      </c>
      <c r="C167" s="10" t="n">
        <v>12</v>
      </c>
      <c r="D167" s="8" t="inlineStr">
        <is>
          <t>M6, between J44 and J45</t>
        </is>
      </c>
      <c r="E167" s="8" t="inlineStr">
        <is>
          <t>Carlisle</t>
        </is>
      </c>
      <c r="F167" s="9" t="inlineStr">
        <is>
          <t>CA6 4HA</t>
        </is>
      </c>
      <c r="G167" s="10" t="n">
        <v>54.951829</v>
      </c>
      <c r="H167" s="10" t="n">
        <v>-2.977341</v>
      </c>
      <c r="I167" s="11" t="n">
        <v>4.6</v>
      </c>
      <c r="J167" s="12">
        <f>HYPERLINK("https://www.google.com/maps/search/?api=1&amp;query=54.951829,-2.977341", "Open Google Maps")</f>
        <v/>
      </c>
      <c r="K167" s="12">
        <f>HYPERLINK("https://waze.com/ul?ll=54.951829,-2.977341&amp;navigate=yes", "Open Waze")</f>
        <v/>
      </c>
    </row>
    <row r="168" ht="20" customHeight="1">
      <c r="A168" s="3" t="inlineStr">
        <is>
          <t>Tongham, UK</t>
        </is>
      </c>
      <c r="B168" s="4" t="inlineStr">
        <is>
          <t>OPEN</t>
        </is>
      </c>
      <c r="C168" s="5" t="n">
        <v>8</v>
      </c>
      <c r="D168" s="3" t="inlineStr">
        <is>
          <t>Hogs Back, Seale, Tongham</t>
        </is>
      </c>
      <c r="E168" s="3" t="inlineStr">
        <is>
          <t>Farnham</t>
        </is>
      </c>
      <c r="F168" s="4" t="inlineStr">
        <is>
          <t>GU10 1EX</t>
        </is>
      </c>
      <c r="G168" s="5" t="n">
        <v>51.2262851</v>
      </c>
      <c r="H168" s="5" t="n">
        <v>-0.7234964</v>
      </c>
      <c r="I168" s="6" t="n">
        <v>4.5</v>
      </c>
      <c r="J168" s="7">
        <f>HYPERLINK("https://www.google.com/maps/search/?api=1&amp;query=51.2262851,-0.7234964", "Open Google Maps")</f>
        <v/>
      </c>
      <c r="K168" s="7">
        <f>HYPERLINK("https://waze.com/ul?ll=51.2262851,-0.7234964&amp;navigate=yes", "Open Waze")</f>
        <v/>
      </c>
    </row>
    <row r="169" ht="20" customHeight="1">
      <c r="A169" s="8" t="inlineStr">
        <is>
          <t>Trentham, UK</t>
        </is>
      </c>
      <c r="B169" s="9" t="inlineStr">
        <is>
          <t>OPEN</t>
        </is>
      </c>
      <c r="C169" s="10" t="n">
        <v>18</v>
      </c>
      <c r="D169" s="8" t="inlineStr">
        <is>
          <t>The Trentham Estate</t>
        </is>
      </c>
      <c r="E169" s="8" t="inlineStr">
        <is>
          <t>Stoke</t>
        </is>
      </c>
      <c r="F169" s="9" t="inlineStr">
        <is>
          <t>ST4 8JG</t>
        </is>
      </c>
      <c r="G169" s="10" t="n">
        <v>52.9627348</v>
      </c>
      <c r="H169" s="10" t="n">
        <v>-2.1965062</v>
      </c>
      <c r="I169" s="11" t="n">
        <v>4.6</v>
      </c>
      <c r="J169" s="12">
        <f>HYPERLINK("https://www.google.com/maps/search/?api=1&amp;query=52.9627348,-2.1965062", "Open Google Maps")</f>
        <v/>
      </c>
      <c r="K169" s="12">
        <f>HYPERLINK("https://waze.com/ul?ll=52.9627348,-2.1965062&amp;navigate=yes", "Open Waze")</f>
        <v/>
      </c>
    </row>
    <row r="170" ht="20" customHeight="1">
      <c r="A170" s="3" t="inlineStr">
        <is>
          <t>Trumpington, UK</t>
        </is>
      </c>
      <c r="B170" s="4" t="inlineStr">
        <is>
          <t>OPEN</t>
        </is>
      </c>
      <c r="C170" s="5" t="n">
        <v>12</v>
      </c>
      <c r="D170" s="3" t="inlineStr">
        <is>
          <t>Trumpington Park and Ride</t>
        </is>
      </c>
      <c r="E170" s="3" t="inlineStr">
        <is>
          <t>Trumpington</t>
        </is>
      </c>
      <c r="F170" s="4" t="inlineStr">
        <is>
          <t>CB2 9FT</t>
        </is>
      </c>
      <c r="G170" s="5" t="n">
        <v>52.1682</v>
      </c>
      <c r="H170" s="5" t="n">
        <v>0.1091</v>
      </c>
      <c r="I170" s="6" t="n">
        <v>4.3</v>
      </c>
      <c r="J170" s="7">
        <f>HYPERLINK("https://www.google.com/maps/search/?api=1&amp;query=52.1682,0.1091", "Open Google Maps")</f>
        <v/>
      </c>
      <c r="K170" s="7">
        <f>HYPERLINK("https://waze.com/ul?ll=52.1682,0.1091&amp;navigate=yes", "Open Waze")</f>
        <v/>
      </c>
    </row>
    <row r="171" ht="20" customHeight="1">
      <c r="A171" s="8" t="inlineStr">
        <is>
          <t>Tyndrum, UK</t>
        </is>
      </c>
      <c r="B171" s="9" t="inlineStr">
        <is>
          <t>OPEN</t>
        </is>
      </c>
      <c r="C171" s="10" t="n">
        <v>4</v>
      </c>
      <c r="D171" s="8" t="inlineStr">
        <is>
          <t>31 Mansefield</t>
        </is>
      </c>
      <c r="E171" s="8" t="inlineStr">
        <is>
          <t>Tyndrum</t>
        </is>
      </c>
      <c r="F171" s="9" t="inlineStr">
        <is>
          <t>FK20 8RQ</t>
        </is>
      </c>
      <c r="G171" s="10" t="n">
        <v>56.43844</v>
      </c>
      <c r="H171" s="10" t="n">
        <v>-4.710994</v>
      </c>
      <c r="I171" s="11" t="n">
        <v>4.5</v>
      </c>
      <c r="J171" s="12">
        <f>HYPERLINK("https://www.google.com/maps/search/?api=1&amp;query=56.43844,-4.710994", "Open Google Maps")</f>
        <v/>
      </c>
      <c r="K171" s="12">
        <f>HYPERLINK("https://waze.com/ul?ll=56.43844,-4.710994&amp;navigate=yes", "Open Waze")</f>
        <v/>
      </c>
    </row>
    <row r="172" ht="20" customHeight="1">
      <c r="A172" s="3" t="inlineStr">
        <is>
          <t>Uxbridge, UK</t>
        </is>
      </c>
      <c r="B172" s="4" t="inlineStr">
        <is>
          <t>OPEN</t>
        </is>
      </c>
      <c r="C172" s="5" t="n">
        <v>12</v>
      </c>
      <c r="D172" s="3" t="inlineStr">
        <is>
          <t>High Street</t>
        </is>
      </c>
      <c r="E172" s="3" t="inlineStr">
        <is>
          <t>Uxbridge</t>
        </is>
      </c>
      <c r="F172" s="4" t="inlineStr">
        <is>
          <t>UB8 1GE</t>
        </is>
      </c>
      <c r="G172" s="5" t="n">
        <v>51.5459212</v>
      </c>
      <c r="H172" s="5" t="n">
        <v>-0.4749488</v>
      </c>
      <c r="I172" s="6" t="n">
        <v>4.5</v>
      </c>
      <c r="J172" s="7">
        <f>HYPERLINK("https://www.google.com/maps/search/?api=1&amp;query=51.5459212,-0.4749488", "Open Google Maps")</f>
        <v/>
      </c>
      <c r="K172" s="7">
        <f>HYPERLINK("https://waze.com/ul?ll=51.5459212,-0.4749488&amp;navigate=yes", "Open Waze")</f>
        <v/>
      </c>
    </row>
    <row r="173" ht="20" customHeight="1">
      <c r="A173" s="8" t="inlineStr">
        <is>
          <t>Warrington, UK</t>
        </is>
      </c>
      <c r="B173" s="9" t="inlineStr">
        <is>
          <t>OPEN</t>
        </is>
      </c>
      <c r="C173" s="10" t="n">
        <v>2</v>
      </c>
      <c r="D173" s="8" t="inlineStr">
        <is>
          <t>The Park Royal Hotel, Stretton Road</t>
        </is>
      </c>
      <c r="E173" s="8" t="inlineStr">
        <is>
          <t>Warrington</t>
        </is>
      </c>
      <c r="F173" s="9" t="inlineStr">
        <is>
          <t>WA4 4NS</t>
        </is>
      </c>
      <c r="G173" s="10" t="n">
        <v>53.339515</v>
      </c>
      <c r="H173" s="10" t="n">
        <v>-2.569358</v>
      </c>
      <c r="I173" s="11" t="n">
        <v>4.7</v>
      </c>
      <c r="J173" s="12">
        <f>HYPERLINK("https://www.google.com/maps/search/?api=1&amp;query=53.339515,-2.569358", "Open Google Maps")</f>
        <v/>
      </c>
      <c r="K173" s="12">
        <f>HYPERLINK("https://waze.com/ul?ll=53.339515,-2.569358&amp;navigate=yes", "Open Waze")</f>
        <v/>
      </c>
    </row>
    <row r="174" ht="20" customHeight="1">
      <c r="A174" s="3" t="inlineStr">
        <is>
          <t>Warwick, UK - Northbound</t>
        </is>
      </c>
      <c r="B174" s="4" t="inlineStr">
        <is>
          <t>OPEN</t>
        </is>
      </c>
      <c r="C174" s="5" t="n">
        <v>8</v>
      </c>
      <c r="D174" s="3" t="inlineStr">
        <is>
          <t>M40, Welcome Break Service, North</t>
        </is>
      </c>
      <c r="E174" s="3" t="inlineStr">
        <is>
          <t>Warwick</t>
        </is>
      </c>
      <c r="F174" s="4" t="inlineStr">
        <is>
          <t>CV35 0AA</t>
        </is>
      </c>
      <c r="G174" s="5" t="n">
        <v>52.216101</v>
      </c>
      <c r="H174" s="5" t="n">
        <v>-1.504785</v>
      </c>
      <c r="I174" s="6" t="n">
        <v>4.6</v>
      </c>
      <c r="J174" s="7">
        <f>HYPERLINK("https://www.google.com/maps/search/?api=1&amp;query=52.216101,-1.504785", "Open Google Maps")</f>
        <v/>
      </c>
      <c r="K174" s="7">
        <f>HYPERLINK("https://waze.com/ul?ll=52.216101,-1.504785&amp;navigate=yes", "Open Waze")</f>
        <v/>
      </c>
    </row>
    <row r="175" ht="20" customHeight="1">
      <c r="A175" s="8" t="inlineStr">
        <is>
          <t>Warwick, UK - Southbound</t>
        </is>
      </c>
      <c r="B175" s="9" t="inlineStr">
        <is>
          <t>OPEN</t>
        </is>
      </c>
      <c r="C175" s="10" t="n">
        <v>8</v>
      </c>
      <c r="D175" s="8" t="inlineStr">
        <is>
          <t>M40, Welcome Break Service, South</t>
        </is>
      </c>
      <c r="E175" s="8" t="inlineStr">
        <is>
          <t>Warwick</t>
        </is>
      </c>
      <c r="F175" s="9" t="inlineStr">
        <is>
          <t>CV35 0AA</t>
        </is>
      </c>
      <c r="G175" s="10" t="n">
        <v>52.219093</v>
      </c>
      <c r="H175" s="10" t="n">
        <v>-1.50128</v>
      </c>
      <c r="I175" s="11" t="n">
        <v>4.5</v>
      </c>
      <c r="J175" s="12">
        <f>HYPERLINK("https://www.google.com/maps/search/?api=1&amp;query=52.219093,-1.50128", "Open Google Maps")</f>
        <v/>
      </c>
      <c r="K175" s="12">
        <f>HYPERLINK("https://waze.com/ul?ll=52.219093,-1.50128&amp;navigate=yes", "Open Waze")</f>
        <v/>
      </c>
    </row>
    <row r="176" ht="20" customHeight="1">
      <c r="A176" s="3" t="inlineStr">
        <is>
          <t>Washington, UK</t>
        </is>
      </c>
      <c r="B176" s="4" t="inlineStr">
        <is>
          <t>OPEN</t>
        </is>
      </c>
      <c r="C176" s="5" t="n">
        <v>8</v>
      </c>
      <c r="D176" s="3" t="inlineStr">
        <is>
          <t>Washington Emerson Road</t>
        </is>
      </c>
      <c r="E176" s="3" t="inlineStr">
        <is>
          <t>Washington</t>
        </is>
      </c>
      <c r="F176" s="4" t="inlineStr">
        <is>
          <t>NE37 1LB</t>
        </is>
      </c>
      <c r="G176" s="5" t="n">
        <v>54.887455</v>
      </c>
      <c r="H176" s="5" t="n">
        <v>-1.55828</v>
      </c>
      <c r="I176" s="6" t="n">
        <v>4.6</v>
      </c>
      <c r="J176" s="7">
        <f>HYPERLINK("https://www.google.com/maps/search/?api=1&amp;query=54.887455,-1.55828", "Open Google Maps")</f>
        <v/>
      </c>
      <c r="K176" s="7">
        <f>HYPERLINK("https://waze.com/ul?ll=54.887455,-1.55828&amp;navigate=yes", "Open Waze")</f>
        <v/>
      </c>
    </row>
    <row r="177" ht="20" customHeight="1">
      <c r="A177" s="8" t="inlineStr">
        <is>
          <t>Washington, UK - A1(M) Northbound</t>
        </is>
      </c>
      <c r="B177" s="9" t="inlineStr">
        <is>
          <t>OPEN</t>
        </is>
      </c>
      <c r="C177" s="10" t="n">
        <v>10</v>
      </c>
      <c r="D177" s="8" t="inlineStr">
        <is>
          <t>Moto Washington Services, A1(M)</t>
        </is>
      </c>
      <c r="E177" s="8" t="inlineStr">
        <is>
          <t>Washington</t>
        </is>
      </c>
      <c r="F177" s="9" t="inlineStr">
        <is>
          <t>DH3 2SJ</t>
        </is>
      </c>
      <c r="G177" s="10" t="n">
        <v>54.889288</v>
      </c>
      <c r="H177" s="10" t="n">
        <v>-1.560279</v>
      </c>
      <c r="I177" s="11" t="n">
        <v>4.5</v>
      </c>
      <c r="J177" s="12">
        <f>HYPERLINK("https://www.google.com/maps/search/?api=1&amp;query=54.889288,-1.560279", "Open Google Maps")</f>
        <v/>
      </c>
      <c r="K177" s="12">
        <f>HYPERLINK("https://waze.com/ul?ll=54.889288,-1.560279&amp;navigate=yes", "Open Waze")</f>
        <v/>
      </c>
    </row>
    <row r="178" ht="20" customHeight="1">
      <c r="A178" s="3" t="inlineStr">
        <is>
          <t>Washington, UK - A1(M) Southbound</t>
        </is>
      </c>
      <c r="B178" s="4" t="inlineStr">
        <is>
          <t>OPEN</t>
        </is>
      </c>
      <c r="C178" s="5" t="n">
        <v>12</v>
      </c>
      <c r="D178" s="3" t="inlineStr">
        <is>
          <t>Moto Washington Services southbound, A1(M), 64 Portobello Road</t>
        </is>
      </c>
      <c r="E178" s="3" t="inlineStr">
        <is>
          <t>Washington</t>
        </is>
      </c>
      <c r="F178" s="4" t="inlineStr">
        <is>
          <t>DH3 2SJ</t>
        </is>
      </c>
      <c r="G178" s="5" t="n">
        <v>54.890501</v>
      </c>
      <c r="H178" s="5" t="n">
        <v>-1.557911</v>
      </c>
      <c r="I178" s="6" t="n">
        <v>4.4</v>
      </c>
      <c r="J178" s="7">
        <f>HYPERLINK("https://www.google.com/maps/search/?api=1&amp;query=54.890501,-1.557911", "Open Google Maps")</f>
        <v/>
      </c>
      <c r="K178" s="7">
        <f>HYPERLINK("https://waze.com/ul?ll=54.890501,-1.557911&amp;navigate=yes", "Open Waze")</f>
        <v/>
      </c>
    </row>
    <row r="179" ht="20" customHeight="1">
      <c r="A179" s="8" t="inlineStr">
        <is>
          <t>Winchester - Easton Ln (SC), UK</t>
        </is>
      </c>
      <c r="B179" s="9" t="inlineStr">
        <is>
          <t>OPEN</t>
        </is>
      </c>
      <c r="C179" s="10" t="n">
        <v>12</v>
      </c>
      <c r="D179" s="8" t="inlineStr">
        <is>
          <t>Easton Ln</t>
        </is>
      </c>
      <c r="E179" s="8" t="inlineStr">
        <is>
          <t>Winchester</t>
        </is>
      </c>
      <c r="F179" s="9" t="inlineStr">
        <is>
          <t>SO23 7RR</t>
        </is>
      </c>
      <c r="G179" s="10" t="n">
        <v>51.067226</v>
      </c>
      <c r="H179" s="10" t="n">
        <v>-1.299999</v>
      </c>
      <c r="I179" s="11" t="n">
        <v>4.4</v>
      </c>
      <c r="J179" s="12">
        <f>HYPERLINK("https://www.google.com/maps/search/?api=1&amp;query=51.067226,-1.299999", "Open Google Maps")</f>
        <v/>
      </c>
      <c r="K179" s="12">
        <f>HYPERLINK("https://waze.com/ul?ll=51.067226,-1.299999&amp;navigate=yes", "Open Waze")</f>
        <v/>
      </c>
    </row>
    <row r="180" ht="20" customHeight="1">
      <c r="A180" s="3" t="inlineStr">
        <is>
          <t>Winchester, UK - Norton Park</t>
        </is>
      </c>
      <c r="B180" s="4" t="inlineStr">
        <is>
          <t>OPEN</t>
        </is>
      </c>
      <c r="C180" s="5" t="n">
        <v>2</v>
      </c>
      <c r="D180" s="3" t="inlineStr">
        <is>
          <t>Norton Park</t>
        </is>
      </c>
      <c r="E180" s="3" t="inlineStr">
        <is>
          <t>Winchester</t>
        </is>
      </c>
      <c r="F180" s="4" t="inlineStr">
        <is>
          <t>SO21 3NB</t>
        </is>
      </c>
      <c r="G180" s="5" t="n">
        <v>51.16725</v>
      </c>
      <c r="H180" s="5" t="n">
        <v>-1.328024</v>
      </c>
      <c r="I180" s="6" t="n">
        <v>4.6</v>
      </c>
      <c r="J180" s="7">
        <f>HYPERLINK("https://www.google.com/maps/search/?api=1&amp;query=51.16725,-1.328024", "Open Google Maps")</f>
        <v/>
      </c>
      <c r="K180" s="7">
        <f>HYPERLINK("https://waze.com/ul?ll=51.16725,-1.328024&amp;navigate=yes", "Open Waze")</f>
        <v/>
      </c>
    </row>
    <row r="181" ht="20" customHeight="1">
      <c r="A181" s="8" t="inlineStr">
        <is>
          <t>Wokingham, UK</t>
        </is>
      </c>
      <c r="B181" s="9" t="inlineStr">
        <is>
          <t>OPEN</t>
        </is>
      </c>
      <c r="C181" s="10" t="n">
        <v>16</v>
      </c>
      <c r="D181" s="8" t="inlineStr">
        <is>
          <t>Mill Lane, Sindlesham</t>
        </is>
      </c>
      <c r="E181" s="8" t="inlineStr">
        <is>
          <t>Wokingham</t>
        </is>
      </c>
      <c r="F181" s="9" t="inlineStr">
        <is>
          <t>RG41 5DG</t>
        </is>
      </c>
      <c r="G181" s="10" t="n">
        <v>51.428346</v>
      </c>
      <c r="H181" s="10" t="n">
        <v>-0.898911</v>
      </c>
      <c r="I181" s="11" t="n">
        <v>4.4</v>
      </c>
      <c r="J181" s="12">
        <f>HYPERLINK("https://www.google.com/maps/search/?api=1&amp;query=51.428346,-0.898911", "Open Google Maps")</f>
        <v/>
      </c>
      <c r="K181" s="12">
        <f>HYPERLINK("https://waze.com/ul?ll=51.428346,-0.898911&amp;navigate=yes", "Open Waze")</f>
        <v/>
      </c>
    </row>
    <row r="182" ht="20" customHeight="1">
      <c r="A182" s="3" t="inlineStr">
        <is>
          <t>Woodall, UK - Southbound</t>
        </is>
      </c>
      <c r="B182" s="4" t="inlineStr">
        <is>
          <t>OPEN</t>
        </is>
      </c>
      <c r="C182" s="5" t="n">
        <v>16</v>
      </c>
      <c r="D182" s="3" t="inlineStr">
        <is>
          <t>Woodall Motorway Services Area, M1 (south)</t>
        </is>
      </c>
      <c r="E182" s="3" t="inlineStr">
        <is>
          <t>Sheffield</t>
        </is>
      </c>
      <c r="F182" s="4" t="inlineStr">
        <is>
          <t>S26 7XR</t>
        </is>
      </c>
      <c r="G182" s="5" t="n">
        <v>53.314145</v>
      </c>
      <c r="H182" s="5" t="n">
        <v>-1.281904</v>
      </c>
      <c r="I182" s="6" t="n">
        <v>4.6</v>
      </c>
      <c r="J182" s="7">
        <f>HYPERLINK("https://www.google.com/maps/search/?api=1&amp;query=53.314145,-1.281904", "Open Google Maps")</f>
        <v/>
      </c>
      <c r="K182" s="7">
        <f>HYPERLINK("https://waze.com/ul?ll=53.314145,-1.281904&amp;navigate=yes", "Open Waze")</f>
        <v/>
      </c>
    </row>
    <row r="183" ht="20" customHeight="1">
      <c r="A183" s="8" t="inlineStr">
        <is>
          <t>Wyboston, UK</t>
        </is>
      </c>
      <c r="B183" s="9" t="inlineStr">
        <is>
          <t>OPEN</t>
        </is>
      </c>
      <c r="C183" s="10" t="n">
        <v>14</v>
      </c>
      <c r="D183" s="8" t="inlineStr">
        <is>
          <t>Great N Road</t>
        </is>
      </c>
      <c r="E183" s="8" t="inlineStr">
        <is>
          <t>Wyboston</t>
        </is>
      </c>
      <c r="F183" s="9" t="inlineStr">
        <is>
          <t>MK44 3AL</t>
        </is>
      </c>
      <c r="G183" s="10" t="n">
        <v>52.2024</v>
      </c>
      <c r="H183" s="10" t="n">
        <v>-0.2915</v>
      </c>
      <c r="I183" s="11" t="n">
        <v>4.7</v>
      </c>
      <c r="J183" s="12">
        <f>HYPERLINK("https://www.google.com/maps/search/?api=1&amp;query=52.2024,-0.2915", "Open Google Maps")</f>
        <v/>
      </c>
      <c r="K183" s="12">
        <f>HYPERLINK("https://waze.com/ul?ll=52.2024,-0.2915&amp;navigate=yes", "Open Waze")</f>
        <v/>
      </c>
    </row>
    <row r="184" ht="20" customHeight="1">
      <c r="A184" s="3" t="inlineStr">
        <is>
          <t>York, UK</t>
        </is>
      </c>
      <c r="B184" s="4" t="inlineStr">
        <is>
          <t>OPEN</t>
        </is>
      </c>
      <c r="C184" s="5" t="n">
        <v>16</v>
      </c>
      <c r="D184" s="3" t="inlineStr">
        <is>
          <t>St. Nicholas Avenue, Fulford</t>
        </is>
      </c>
      <c r="E184" s="3" t="inlineStr">
        <is>
          <t>York</t>
        </is>
      </c>
      <c r="F184" s="4" t="inlineStr">
        <is>
          <t>YO19 4TA</t>
        </is>
      </c>
      <c r="G184" s="5" t="n">
        <v>53.924256</v>
      </c>
      <c r="H184" s="5" t="n">
        <v>-1.078025</v>
      </c>
      <c r="I184" s="6" t="n">
        <v>4.7</v>
      </c>
      <c r="J184" s="7">
        <f>HYPERLINK("https://www.google.com/maps/search/?api=1&amp;query=53.924256,-1.078025", "Open Google Maps")</f>
        <v/>
      </c>
      <c r="K184" s="7">
        <f>HYPERLINK("https://waze.com/ul?ll=53.924256,-1.078025&amp;navigate=yes", "Open Waze")</f>
        <v/>
      </c>
    </row>
  </sheetData>
  <autoFilter ref="A1:K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2026-06-03T19:49:07Z</dcterms:created>
  <dcterms:modified xsi:type="dcterms:W3CDTF">2026-06-03T19:49:08Z</dcterms:modified>
</cp:coreProperties>
</file>